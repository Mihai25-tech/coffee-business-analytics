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3B932A4-1648-4E25-A1CF-1AD9B2F41268}" xr6:coauthVersionLast="47" xr6:coauthVersionMax="47" xr10:uidLastSave="{00000000-0000-0000-0000-000000000000}"/>
  <bookViews>
    <workbookView xWindow="8028" yWindow="600" windowWidth="17280" windowHeight="8964" tabRatio="500" firstSheet="4" activeTab="4" xr2:uid="{00000000-000D-0000-FFFF-FFFF00000000}"/>
  </bookViews>
  <sheets>
    <sheet name="P&amp;L" sheetId="1" r:id="rId1"/>
    <sheet name="Revenue Streams" sheetId="2" r:id="rId2"/>
    <sheet name="Staff" sheetId="3" r:id="rId3"/>
    <sheet name="Marketing &amp; CAC" sheetId="4" r:id="rId4"/>
    <sheet name="Channel Performance" sheetId="5" r:id="rId5"/>
    <sheet name="Unit Economics" sheetId="6" r:id="rId6"/>
    <sheet name="Churn Analysis" sheetId="7" r:id="rId7"/>
    <sheet name="Cohort Retention" sheetId="8" r:id="rId8"/>
    <sheet name="Conversion Funnel" sheetId="9" r:id="rId9"/>
    <sheet name="Product Performance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4" l="1"/>
  <c r="D19" i="4"/>
  <c r="E19" i="4"/>
  <c r="F19" i="4"/>
  <c r="G19" i="4"/>
  <c r="C19" i="4"/>
  <c r="B19" i="4"/>
  <c r="C8" i="4"/>
  <c r="D8" i="4"/>
  <c r="E8" i="4"/>
  <c r="F8" i="4"/>
  <c r="G8" i="4"/>
  <c r="H8" i="4"/>
  <c r="B8" i="4"/>
  <c r="B15" i="3"/>
  <c r="E15" i="3"/>
  <c r="F15" i="3"/>
  <c r="D15" i="3"/>
  <c r="C15" i="3"/>
  <c r="H32" i="3"/>
  <c r="C32" i="3"/>
  <c r="B32" i="3"/>
  <c r="C8" i="2"/>
  <c r="F8" i="2"/>
  <c r="H15" i="2"/>
  <c r="G15" i="2"/>
  <c r="F15" i="2"/>
  <c r="E15" i="2"/>
  <c r="D15" i="2"/>
  <c r="C15" i="2"/>
  <c r="B15" i="2"/>
  <c r="H14" i="2"/>
  <c r="H13" i="2"/>
  <c r="H12" i="2"/>
  <c r="H7" i="1" s="1"/>
  <c r="H9" i="1" s="1"/>
  <c r="H26" i="1"/>
  <c r="H25" i="1"/>
  <c r="H24" i="1"/>
  <c r="H23" i="1"/>
  <c r="H22" i="1"/>
  <c r="H21" i="1"/>
  <c r="H20" i="1"/>
  <c r="H19" i="1"/>
  <c r="H18" i="1"/>
  <c r="H17" i="1"/>
  <c r="H13" i="1"/>
  <c r="G13" i="1"/>
  <c r="F13" i="1"/>
  <c r="E13" i="1"/>
  <c r="D13" i="1"/>
  <c r="C13" i="1"/>
  <c r="B13" i="1"/>
  <c r="H12" i="1"/>
  <c r="H11" i="1"/>
  <c r="G9" i="1"/>
  <c r="G27" i="1" s="1"/>
  <c r="G28" i="1" s="1"/>
  <c r="G29" i="1" s="1"/>
  <c r="F9" i="1"/>
  <c r="F37" i="1" s="1"/>
  <c r="E9" i="1"/>
  <c r="E27" i="1" s="1"/>
  <c r="E28" i="1" s="1"/>
  <c r="E29" i="1" s="1"/>
  <c r="D9" i="1"/>
  <c r="D27" i="1" s="1"/>
  <c r="D28" i="1" s="1"/>
  <c r="D29" i="1" s="1"/>
  <c r="C9" i="1"/>
  <c r="C27" i="1" s="1"/>
  <c r="C28" i="1" s="1"/>
  <c r="C29" i="1" s="1"/>
  <c r="B9" i="1"/>
  <c r="B37" i="1" s="1"/>
  <c r="H8" i="1"/>
  <c r="H27" i="1" l="1"/>
  <c r="H14" i="1"/>
  <c r="H28" i="1"/>
  <c r="H29" i="1" s="1"/>
  <c r="B14" i="1"/>
  <c r="B27" i="1"/>
  <c r="B28" i="1" s="1"/>
  <c r="B29" i="1" s="1"/>
  <c r="C37" i="1"/>
  <c r="H37" i="1" s="1"/>
  <c r="H38" i="1" s="1"/>
  <c r="E37" i="1"/>
  <c r="F27" i="1"/>
  <c r="F28" i="1" s="1"/>
  <c r="F29" i="1" s="1"/>
  <c r="G37" i="1"/>
  <c r="C14" i="1"/>
  <c r="D37" i="1"/>
  <c r="F14" i="1"/>
  <c r="G14" i="1"/>
  <c r="D14" i="1"/>
  <c r="E14" i="1"/>
  <c r="C15" i="1" l="1"/>
  <c r="C30" i="1"/>
  <c r="B30" i="1"/>
  <c r="B15" i="1"/>
  <c r="D30" i="1"/>
  <c r="D15" i="1"/>
  <c r="E15" i="1"/>
  <c r="E30" i="1"/>
  <c r="H15" i="1"/>
  <c r="H30" i="1"/>
  <c r="G30" i="1"/>
  <c r="G15" i="1"/>
  <c r="F30" i="1"/>
  <c r="F15" i="1"/>
  <c r="G31" i="1" l="1"/>
  <c r="G42" i="1"/>
  <c r="C31" i="1"/>
  <c r="C42" i="1"/>
  <c r="H42" i="1"/>
  <c r="H31" i="1"/>
  <c r="E42" i="1"/>
  <c r="E31" i="1"/>
  <c r="D31" i="1"/>
  <c r="D42" i="1"/>
  <c r="B42" i="1"/>
  <c r="B31" i="1"/>
  <c r="F31" i="1"/>
  <c r="F42" i="1"/>
</calcChain>
</file>

<file path=xl/sharedStrings.xml><?xml version="1.0" encoding="utf-8"?>
<sst xmlns="http://schemas.openxmlformats.org/spreadsheetml/2006/main" count="352" uniqueCount="238">
  <si>
    <t>Profit &amp; Loss Statement</t>
  </si>
  <si>
    <t>Coffee &amp; Tea E-commerce | Ukraine Market | May - Oct 2025 | All amounts in UAH</t>
  </si>
  <si>
    <t>Tax: Individual entrepreneur Group 3 - 5% of proceeds (strictly). ESV 22% - in payroll. Reserve - 6% of monthly earnings.</t>
  </si>
  <si>
    <t>May</t>
  </si>
  <si>
    <t>Jun</t>
  </si>
  <si>
    <t>Jul</t>
  </si>
  <si>
    <t>Aug</t>
  </si>
  <si>
    <t>Sep</t>
  </si>
  <si>
    <t>Oct</t>
  </si>
  <si>
    <t>Total</t>
  </si>
  <si>
    <t>REVENUE</t>
  </si>
  <si>
    <t>B2C Revenue (E-commerce + Social)</t>
  </si>
  <si>
    <t>B2B Revenue (Wholesale)</t>
  </si>
  <si>
    <t>Total Revenue</t>
  </si>
  <si>
    <t>COST OF GOODS SOLD</t>
  </si>
  <si>
    <t>B2C COGS</t>
  </si>
  <si>
    <t>B2B COGS</t>
  </si>
  <si>
    <t>Total COGS</t>
  </si>
  <si>
    <t>Gross Profit</t>
  </si>
  <si>
    <t>Gross Margin %</t>
  </si>
  <si>
    <t>OPERATING EXPENSES</t>
  </si>
  <si>
    <t>Paid Media (Google, FB, Telegram)</t>
  </si>
  <si>
    <t>Marketing Ops (content, design)</t>
  </si>
  <si>
    <t>Payroll + ESV (see Staff sheet)</t>
  </si>
  <si>
    <t>Delivery / Nova Poshta / Couriers</t>
  </si>
  <si>
    <t>Packaging</t>
  </si>
  <si>
    <t>Acquiring (card processing, ~2% B2C)</t>
  </si>
  <si>
    <t>Rent + Utilities (warehouse + office)</t>
  </si>
  <si>
    <t>Communications / Internet / Software</t>
  </si>
  <si>
    <t>Accounting (external service)</t>
  </si>
  <si>
    <t>Write-offs / Losses (~1.5% COGS)</t>
  </si>
  <si>
    <t>TAX – FOP Group 3 (5% of revenue)</t>
  </si>
  <si>
    <t>Total Operating Expenses</t>
  </si>
  <si>
    <t>OpEx as % of Revenue</t>
  </si>
  <si>
    <t>Net Profit / (Loss)</t>
  </si>
  <si>
    <t>Net Margin %</t>
  </si>
  <si>
    <t xml:space="preserve">Reserve / RETAINED EARNINGS </t>
  </si>
  <si>
    <t>Automatically generated: 6% of revenue is allocated to the Reserve each month. Covers 1.5–2 months of fixed expenses.</t>
  </si>
  <si>
    <t>Reserve Rate (% выручки)</t>
  </si>
  <si>
    <t>Monthly Reserve Deduction</t>
  </si>
  <si>
    <t>Cumulative Reserve Balance</t>
  </si>
  <si>
    <t>Est. Fixed Costs / Month (ref)</t>
  </si>
  <si>
    <t>Reserve Coverage (months)</t>
  </si>
  <si>
    <t>Profit After Reserve</t>
  </si>
  <si>
    <t>Revenue Streams &amp; Team Mapping</t>
  </si>
  <si>
    <t>Three revenue streams. Green = "feeds the business." Blue = "supports." Red = "can be cut in a crisis."</t>
  </si>
  <si>
    <t>Stream</t>
  </si>
  <si>
    <t>Description</t>
  </si>
  <si>
    <t>Rev (6 мес)</t>
  </si>
  <si>
    <t>% of Total</t>
  </si>
  <si>
    <t>Payroll (мес)</t>
  </si>
  <si>
    <t>GP (6 мес)</t>
  </si>
  <si>
    <t>crisis-cuttable?</t>
  </si>
  <si>
    <t>B2C Coffee &amp; Tea</t>
  </si>
  <si>
    <t>E-commerce + social media</t>
  </si>
  <si>
    <t>No , Base Stream</t>
  </si>
  <si>
    <t>B2B / Corporate</t>
  </si>
  <si>
    <t>Wholesale in offices</t>
  </si>
  <si>
    <t>Partially , can be reduced объём</t>
  </si>
  <si>
    <t>Service (inst/repair)</t>
  </si>
  <si>
    <t>Installation or repairing coffe machines and other equipment</t>
  </si>
  <si>
    <t xml:space="preserve"> Yes , first to cut in crisis</t>
  </si>
  <si>
    <t>TOTAL</t>
  </si>
  <si>
    <t>monthly breakdown by потокам</t>
  </si>
  <si>
    <t>Team → Threads (% of time)</t>
  </si>
  <si>
    <t>Роль</t>
  </si>
  <si>
    <t>B2C Coffee/Tea</t>
  </si>
  <si>
    <t>B2B Corporate</t>
  </si>
  <si>
    <t>Service</t>
  </si>
  <si>
    <t>Owner/CEO</t>
  </si>
  <si>
    <t>Ops Manager</t>
  </si>
  <si>
    <t>Jr Analyst</t>
  </si>
  <si>
    <t>Mkt Specialist</t>
  </si>
  <si>
    <t>Content Mgr</t>
  </si>
  <si>
    <t>Picker 1</t>
  </si>
  <si>
    <t>Picker 2</t>
  </si>
  <si>
    <t>Delivery Coord</t>
  </si>
  <si>
    <t>Cust Support</t>
  </si>
  <si>
    <t>Bookkeeper</t>
  </si>
  <si>
    <t>Payroll on Stream (UAH/мес)</t>
  </si>
  <si>
    <t>Staff Structure &amp; Costs</t>
  </si>
  <si>
    <t>10 people | ESV 22% | Hours budget 160h/month per 1.0 FTE | Linked to P&amp;L payroll</t>
  </si>
  <si>
    <t>Role</t>
  </si>
  <si>
    <t>FTE</t>
  </si>
  <si>
    <t>Gross (UAH)</t>
  </si>
  <si>
    <t>ESV 22%</t>
  </si>
  <si>
    <t>Total Cost</t>
  </si>
  <si>
    <t>Hours/mo</t>
  </si>
  <si>
    <t>Capacity Note</t>
  </si>
  <si>
    <t>Owner / CEO</t>
  </si>
  <si>
    <t>strategy, B2B transactions</t>
  </si>
  <si>
    <t>Operations Manager</t>
  </si>
  <si>
    <t>~18 contacts/month</t>
  </si>
  <si>
    <t>Junior Data Analyst</t>
  </si>
  <si>
    <t>Analytics, reports, dashboards</t>
  </si>
  <si>
    <t>Marketing Specialist</t>
  </si>
  <si>
    <t>campaigns, channels</t>
  </si>
  <si>
    <t>Content Manager</t>
  </si>
  <si>
    <t>content, social media</t>
  </si>
  <si>
    <t>Warehouse Picker 1</t>
  </si>
  <si>
    <t>~580 orders/month</t>
  </si>
  <si>
    <t>Warehouse Picker 2</t>
  </si>
  <si>
    <t>~520 orders/month</t>
  </si>
  <si>
    <t>Delivery Coordinator</t>
  </si>
  <si>
    <t>shipment coordination ~480/month</t>
  </si>
  <si>
    <t>Customer Support</t>
  </si>
  <si>
    <t>~420 contacts/month</t>
  </si>
  <si>
    <t>Bookkeeper (external)</t>
  </si>
  <si>
    <t>accounting, taxes (ext.)</t>
  </si>
  <si>
    <t>TOTAL (base month)</t>
  </si>
  <si>
    <t>Workload ↔ Revenue Link</t>
  </si>
  <si>
    <t>Metric</t>
  </si>
  <si>
    <t>Total Orders / month</t>
  </si>
  <si>
    <t>Orders / Warehouse Worker</t>
  </si>
  <si>
    <t>B2B Clients (active/month)</t>
  </si>
  <si>
    <t>B2B Clients / Ops Manager</t>
  </si>
  <si>
    <t>Support Tickets / month</t>
  </si>
  <si>
    <t>Tickets / Support Person</t>
  </si>
  <si>
    <t>Delivery Batches / month</t>
  </si>
  <si>
    <t>Team Hours Budget (FTE×160)</t>
  </si>
  <si>
    <t>Monthly Payroll Breakdown (P&amp;L linked)</t>
  </si>
  <si>
    <t>Monthly Multiplier</t>
  </si>
  <si>
    <t>Base Total (Gross + ESV)</t>
  </si>
  <si>
    <t>Actual Payroll + ESV</t>
  </si>
  <si>
    <t>Marketing &amp; Customer Acquisition Cost</t>
  </si>
  <si>
    <t>Paid Media = Google Ads + Facebook/Instagram + Telegram. Marketing Ops (content, agency) is separate in P&amp;L OpEx.</t>
  </si>
  <si>
    <t>Google Ads</t>
  </si>
  <si>
    <t>Facebook / Instagram</t>
  </si>
  <si>
    <t>Telegram Ads</t>
  </si>
  <si>
    <t>Total Paid Media</t>
  </si>
  <si>
    <t>New Buyers (1st purchase)</t>
  </si>
  <si>
    <t>CAC (Paid Media / New Buyers)</t>
  </si>
  <si>
    <t>Total Revenue (ref.)</t>
  </si>
  <si>
    <t>Paid Media as % of Revenue</t>
  </si>
  <si>
    <t>New Buyers by Segment</t>
  </si>
  <si>
    <t>B2C New Buyers</t>
  </si>
  <si>
    <t>B2B New Buyers</t>
  </si>
  <si>
    <t>Total (check)</t>
  </si>
  <si>
    <t>Channel Performance Analysis</t>
  </si>
  <si>
    <t>6-month totals. B2C = E-commerce + Social. B2B = Wholesale (cafes, offices). B2B acquisition is referral-driven, no paid media.</t>
  </si>
  <si>
    <t>B2C</t>
  </si>
  <si>
    <t>B2B</t>
  </si>
  <si>
    <t>Revenue (UAH)</t>
  </si>
  <si>
    <t>COGS (UAH)</t>
  </si>
  <si>
    <t>Paid Media (UAH)</t>
  </si>
  <si>
    <t>New Buyers</t>
  </si>
  <si>
    <t>Total Orders</t>
  </si>
  <si>
    <t>Calculated Metrics</t>
  </si>
  <si>
    <t>Avg Order Value (UAH)</t>
  </si>
  <si>
    <t>Gross Profit (UAH)</t>
  </si>
  <si>
    <t>CAC - Paid Media (UAH)</t>
  </si>
  <si>
    <t>N/A</t>
  </si>
  <si>
    <t>LTV - Revenue per Buyer (UAH)</t>
  </si>
  <si>
    <t>GP per Buyer (UAH)</t>
  </si>
  <si>
    <t>LTV / CAC</t>
  </si>
  <si>
    <t>Payback (months, 6-mo window)</t>
  </si>
  <si>
    <t>Unit Economics by Channel</t>
  </si>
  <si>
    <t>Per-buyer economics over 6-month window. Payback = months to recover CAC from gross profit.</t>
  </si>
  <si>
    <t>B2C - E-commerce</t>
  </si>
  <si>
    <t>B2C - Social</t>
  </si>
  <si>
    <t>B2C Total</t>
  </si>
  <si>
    <t>B2B - Wholesale</t>
  </si>
  <si>
    <t>Buyers</t>
  </si>
  <si>
    <t>Revenue</t>
  </si>
  <si>
    <t>COGS</t>
  </si>
  <si>
    <t>Orders</t>
  </si>
  <si>
    <t>Paid Media</t>
  </si>
  <si>
    <t>CAC (UAH)</t>
  </si>
  <si>
    <t>Payback (months)</t>
  </si>
  <si>
    <t>Customer Churn Rate Analysis</t>
  </si>
  <si>
    <t>Cohort</t>
  </si>
  <si>
    <t>Size</t>
  </si>
  <si>
    <t>M+0</t>
  </si>
  <si>
    <t>M+1 (30d)</t>
  </si>
  <si>
    <t>M+2 (60d)</t>
  </si>
  <si>
    <t>M+3 (90d)</t>
  </si>
  <si>
    <t>M+4 (120d)</t>
  </si>
  <si>
    <t>M+5 (150d)</t>
  </si>
  <si>
    <t>May 2025</t>
  </si>
  <si>
    <t>Jun 2025</t>
  </si>
  <si>
    <t>Jul 2025</t>
  </si>
  <si>
    <t>Aug 2025</t>
  </si>
  <si>
    <t>Sep 2025</t>
  </si>
  <si>
    <t>n/a</t>
  </si>
  <si>
    <t>Oct 2025</t>
  </si>
  <si>
    <t>Average</t>
  </si>
  <si>
    <t>Notes</t>
  </si>
  <si>
    <t>Time windows: M+1 = 30 days, M+2 = 60 days, M+3 = 90 days, M+4 = 120 days, M+5 = 150 days from first purchase.</t>
  </si>
  <si>
    <t>n/a = insufficient time elapsed (report ends Oct 2025).</t>
  </si>
  <si>
    <t>Cohort Retention Analysis</t>
  </si>
  <si>
    <t>Retention = 100% - Churn. All values linked to Churn Analysis via formula.</t>
  </si>
  <si>
    <t>Sales Conversion Funnel</t>
  </si>
  <si>
    <t xml:space="preserve"> All windows measured from date of 1st purchase. B2C and B2B split below.</t>
  </si>
  <si>
    <t>Stage</t>
  </si>
  <si>
    <t>Window</t>
  </si>
  <si>
    <t>% of Previous</t>
  </si>
  <si>
    <t>% of 1st Purchase</t>
  </si>
  <si>
    <t>1st Purchase</t>
  </si>
  <si>
    <t>Day 0</t>
  </si>
  <si>
    <t>2nd Order</t>
  </si>
  <si>
    <t>90 days</t>
  </si>
  <si>
    <t>3rd Order</t>
  </si>
  <si>
    <t>120 days</t>
  </si>
  <si>
    <t>4+ Orders</t>
  </si>
  <si>
    <t>150 days</t>
  </si>
  <si>
    <t>Loyal (6+)</t>
  </si>
  <si>
    <t>180 days</t>
  </si>
  <si>
    <t>Drop-offs</t>
  </si>
  <si>
    <t>Transition</t>
  </si>
  <si>
    <t>Buyers Lost</t>
  </si>
  <si>
    <t>Drop-off %</t>
  </si>
  <si>
    <t>1st -&gt; 2nd</t>
  </si>
  <si>
    <t>2nd -&gt; 3rd</t>
  </si>
  <si>
    <t>3rd -&gt; 4+</t>
  </si>
  <si>
    <t>4+ -&gt; Loyal</t>
  </si>
  <si>
    <t>B2C vs B2B</t>
  </si>
  <si>
    <t>Repeat Rate Comparison</t>
  </si>
  <si>
    <t>2nd Purchase Rate</t>
  </si>
  <si>
    <t>3rd Purchase Rate (of 2nd)</t>
  </si>
  <si>
    <t>Product Performance by Category</t>
  </si>
  <si>
    <t>Category</t>
  </si>
  <si>
    <t>SKUs</t>
  </si>
  <si>
    <t>Margin %</t>
  </si>
  <si>
    <t>Units</t>
  </si>
  <si>
    <t>AOV (UAH)</t>
  </si>
  <si>
    <t>Coffee Beans</t>
  </si>
  <si>
    <t>Ground Coffee</t>
  </si>
  <si>
    <t>Tea</t>
  </si>
  <si>
    <t>Accessories</t>
  </si>
  <si>
    <t>Top 5 Products by Revenue</t>
  </si>
  <si>
    <t>Rank</t>
  </si>
  <si>
    <t>Product</t>
  </si>
  <si>
    <t>GP (UAH)</t>
  </si>
  <si>
    <t>Coffee Grinder</t>
  </si>
  <si>
    <t>French Press</t>
  </si>
  <si>
    <t>Milk Frother</t>
  </si>
  <si>
    <t>Organic Fair Trade</t>
  </si>
  <si>
    <t>Matcha 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</si>
</sst>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"/>
    <numFmt numFmtId="166" formatCode="0.0"/>
    <numFmt numFmtId="167" formatCode="#,##0;\(#,##0\);\-"/>
  </numFmts>
  <fonts count="3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B0BEC5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5F7A99"/>
      <name val="Arial"/>
      <charset val="1"/>
    </font>
    <font>
      <b/>
      <sz val="9"/>
      <color rgb="FF1B2335"/>
      <name val="Arial"/>
      <charset val="1"/>
    </font>
    <font>
      <b/>
      <sz val="9"/>
      <color rgb="FF2E7D32"/>
      <name val="Arial"/>
      <charset val="1"/>
    </font>
    <font>
      <i/>
      <sz val="8"/>
      <color rgb="FF5F7A99"/>
      <name val="Arial"/>
      <charset val="1"/>
    </font>
    <font>
      <sz val="8"/>
      <color rgb="FF5F7A99"/>
      <name val="Arial"/>
      <charset val="1"/>
    </font>
    <font>
      <sz val="9"/>
      <color rgb="FF1B2335"/>
      <name val="Arial"/>
      <charset val="1"/>
    </font>
    <font>
      <sz val="9"/>
      <color rgb="FF008000"/>
      <name val="Arial"/>
      <charset val="1"/>
    </font>
    <font>
      <b/>
      <sz val="9"/>
      <color rgb="FFD32F2F"/>
      <name val="Arial"/>
      <charset val="1"/>
    </font>
    <font>
      <b/>
      <sz val="10"/>
      <color rgb="FF1B2335"/>
      <name val="Arial"/>
      <charset val="1"/>
    </font>
    <font>
      <b/>
      <sz val="11"/>
      <color rgb="FFFFFFFF"/>
      <name val="Arial"/>
      <charset val="1"/>
    </font>
    <font>
      <sz val="9"/>
      <color rgb="FF0000FF"/>
      <name val="Arial"/>
      <charset val="1"/>
    </font>
    <font>
      <b/>
      <sz val="9"/>
      <color rgb="FF1565C0"/>
      <name val="Arial"/>
      <charset val="1"/>
    </font>
    <font>
      <b/>
      <sz val="10"/>
      <color rgb="FF2E7D32"/>
      <name val="Arial"/>
      <charset val="1"/>
    </font>
    <font>
      <b/>
      <sz val="14"/>
      <color rgb="FFFFFFFF"/>
      <name val="Arial"/>
      <charset val="1"/>
    </font>
    <font>
      <b/>
      <sz val="9"/>
      <color rgb="FFE65100"/>
      <name val="Arial"/>
      <charset val="1"/>
    </font>
    <font>
      <b/>
      <sz val="13"/>
      <color rgb="FF000000"/>
      <name val="Arial"/>
      <charset val="1"/>
    </font>
    <font>
      <sz val="9"/>
      <color rgb="FF5A6A7A"/>
      <name val="Arial"/>
      <charset val="1"/>
    </font>
    <font>
      <sz val="9"/>
      <color rgb="FF999999"/>
      <name val="Arial"/>
      <charset val="1"/>
    </font>
    <font>
      <sz val="9"/>
      <color rgb="FF000000"/>
      <name val="Arial"/>
      <charset val="1"/>
    </font>
    <font>
      <sz val="8"/>
      <color rgb="FFB0BEC5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8"/>
      <color rgb="FF5F7A99"/>
      <name val="Arial"/>
      <family val="2"/>
      <charset val="204"/>
    </font>
    <font>
      <b/>
      <sz val="8"/>
      <color rgb="FFD32F2F"/>
      <name val="Arial"/>
      <family val="2"/>
      <charset val="204"/>
    </font>
    <font>
      <sz val="8"/>
      <color rgb="FF1B2335"/>
      <name val="Arial"/>
      <family val="2"/>
      <charset val="204"/>
    </font>
    <font>
      <b/>
      <sz val="9"/>
      <color rgb="FFD32F2F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B0BEC5"/>
      <name val="Arial"/>
      <family val="2"/>
      <charset val="204"/>
    </font>
    <font>
      <b/>
      <sz val="8"/>
      <color rgb="FFFF8F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8"/>
      <color rgb="FF1565C0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1B2335"/>
        <bgColor rgb="FF2A3A52"/>
      </patternFill>
    </fill>
    <fill>
      <patternFill patternType="solid">
        <fgColor rgb="FFFFF3E0"/>
        <bgColor rgb="FFFFEBEE"/>
      </patternFill>
    </fill>
    <fill>
      <patternFill patternType="solid">
        <fgColor rgb="FF2C3E50"/>
        <bgColor rgb="FF2A3A52"/>
      </patternFill>
    </fill>
    <fill>
      <patternFill patternType="solid">
        <fgColor rgb="FF2A3A52"/>
        <bgColor rgb="FF2C3E50"/>
      </patternFill>
    </fill>
    <fill>
      <patternFill patternType="solid">
        <fgColor rgb="FFD5DBDB"/>
        <bgColor rgb="FFD0D8E4"/>
      </patternFill>
    </fill>
    <fill>
      <patternFill patternType="solid">
        <fgColor rgb="FFF4F6F7"/>
        <bgColor rgb="FFF5F7FA"/>
      </patternFill>
    </fill>
    <fill>
      <patternFill patternType="solid">
        <fgColor rgb="FF3A7BD5"/>
        <bgColor rgb="FF2E86C1"/>
      </patternFill>
    </fill>
    <fill>
      <patternFill patternType="solid">
        <fgColor rgb="FFECEFF1"/>
        <bgColor rgb="FFE8EAF6"/>
      </patternFill>
    </fill>
    <fill>
      <patternFill patternType="solid">
        <fgColor rgb="FFE8F5E9"/>
        <bgColor rgb="FFECEFF1"/>
      </patternFill>
    </fill>
    <fill>
      <patternFill patternType="solid">
        <fgColor rgb="FFD6EAF8"/>
        <bgColor rgb="FFE3F2FD"/>
      </patternFill>
    </fill>
    <fill>
      <patternFill patternType="solid">
        <fgColor rgb="FFFFCDD2"/>
        <bgColor rgb="FFFADBD8"/>
      </patternFill>
    </fill>
    <fill>
      <patternFill patternType="solid">
        <fgColor rgb="FFE8EAF6"/>
        <bgColor rgb="FFECEFF1"/>
      </patternFill>
    </fill>
    <fill>
      <patternFill patternType="solid">
        <fgColor rgb="FF1565C0"/>
        <bgColor rgb="FF2980B9"/>
      </patternFill>
    </fill>
    <fill>
      <patternFill patternType="solid">
        <fgColor rgb="FFE3F2FD"/>
        <bgColor rgb="FFEBF5FB"/>
      </patternFill>
    </fill>
    <fill>
      <patternFill patternType="solid">
        <fgColor rgb="FFF5F7FA"/>
        <bgColor rgb="FFF4F6F7"/>
      </patternFill>
    </fill>
    <fill>
      <patternFill patternType="solid">
        <fgColor rgb="FFBBDEFB"/>
        <bgColor rgb="FFD0D8E4"/>
      </patternFill>
    </fill>
    <fill>
      <patternFill patternType="solid">
        <fgColor rgb="FFC8E6C9"/>
        <bgColor rgb="FFD5DBDB"/>
      </patternFill>
    </fill>
    <fill>
      <patternFill patternType="solid">
        <fgColor rgb="FF2E7D32"/>
        <bgColor rgb="FF008000"/>
      </patternFill>
    </fill>
    <fill>
      <patternFill patternType="solid">
        <fgColor rgb="FFD32F2F"/>
        <bgColor rgb="FFC62828"/>
      </patternFill>
    </fill>
    <fill>
      <patternFill patternType="solid">
        <fgColor rgb="FFF2F5F9"/>
        <bgColor rgb="FFF4F6F7"/>
      </patternFill>
    </fill>
    <fill>
      <patternFill patternType="solid">
        <fgColor rgb="FFFFFFFF"/>
        <bgColor rgb="FFF5F7FA"/>
      </patternFill>
    </fill>
    <fill>
      <patternFill patternType="solid">
        <fgColor rgb="FFEBF5FB"/>
        <bgColor rgb="FFF2F5F9"/>
      </patternFill>
    </fill>
    <fill>
      <patternFill patternType="solid">
        <fgColor rgb="FFD5F5E3"/>
        <bgColor rgb="FFE8F5E9"/>
      </patternFill>
    </fill>
    <fill>
      <patternFill patternType="solid">
        <fgColor rgb="FFFADBD8"/>
        <bgColor rgb="FFFFCDD2"/>
      </patternFill>
    </fill>
    <fill>
      <patternFill patternType="solid">
        <fgColor rgb="FFF9E79F"/>
        <bgColor rgb="FFFADBD8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6F7"/>
      </patternFill>
    </fill>
    <fill>
      <patternFill patternType="solid">
        <fgColor theme="0"/>
        <bgColor rgb="FFFFEBEE"/>
      </patternFill>
    </fill>
    <fill>
      <patternFill patternType="solid">
        <fgColor theme="0"/>
        <bgColor rgb="FFF5F7FA"/>
      </patternFill>
    </fill>
    <fill>
      <patternFill patternType="solid">
        <fgColor theme="0"/>
        <bgColor rgb="FFD0D8E4"/>
      </patternFill>
    </fill>
    <fill>
      <patternFill patternType="solid">
        <fgColor theme="0"/>
        <bgColor rgb="FF2A3A52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rgb="FFC62828"/>
      </patternFill>
    </fill>
    <fill>
      <patternFill patternType="solid">
        <fgColor theme="0"/>
        <bgColor rgb="FFFADBD8"/>
      </patternFill>
    </fill>
  </fills>
  <borders count="11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medium">
        <color rgb="FF3A7BD5"/>
      </bottom>
      <diagonal/>
    </border>
    <border>
      <left/>
      <right/>
      <top/>
      <bottom style="thin">
        <color rgb="FFD0D8E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medium">
        <color rgb="FF2C3E5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medium">
        <color rgb="FF2C3E5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3" fontId="5" fillId="6" borderId="3" xfId="0" applyNumberFormat="1" applyFont="1" applyFill="1" applyBorder="1" applyAlignment="1">
      <alignment horizontal="right"/>
    </xf>
    <xf numFmtId="0" fontId="6" fillId="7" borderId="3" xfId="0" applyFont="1" applyFill="1" applyBorder="1" applyAlignment="1">
      <alignment horizontal="left"/>
    </xf>
    <xf numFmtId="3" fontId="6" fillId="7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left"/>
    </xf>
    <xf numFmtId="3" fontId="3" fillId="8" borderId="3" xfId="0" applyNumberFormat="1" applyFont="1" applyFill="1" applyBorder="1" applyAlignment="1">
      <alignment horizontal="right"/>
    </xf>
    <xf numFmtId="0" fontId="7" fillId="9" borderId="3" xfId="0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left"/>
    </xf>
    <xf numFmtId="3" fontId="8" fillId="6" borderId="3" xfId="0" applyNumberFormat="1" applyFont="1" applyFill="1" applyBorder="1" applyAlignment="1">
      <alignment horizontal="right"/>
    </xf>
    <xf numFmtId="0" fontId="9" fillId="10" borderId="3" xfId="0" applyFont="1" applyFill="1" applyBorder="1" applyAlignment="1">
      <alignment horizontal="left"/>
    </xf>
    <xf numFmtId="3" fontId="9" fillId="10" borderId="3" xfId="0" applyNumberFormat="1" applyFont="1" applyFill="1" applyBorder="1" applyAlignment="1">
      <alignment horizontal="right"/>
    </xf>
    <xf numFmtId="0" fontId="10" fillId="7" borderId="3" xfId="0" applyFont="1" applyFill="1" applyBorder="1" applyAlignment="1">
      <alignment horizontal="left"/>
    </xf>
    <xf numFmtId="164" fontId="11" fillId="7" borderId="3" xfId="0" applyNumberFormat="1" applyFont="1" applyFill="1" applyBorder="1" applyAlignment="1">
      <alignment horizontal="right"/>
    </xf>
    <xf numFmtId="0" fontId="12" fillId="7" borderId="3" xfId="0" applyFont="1" applyFill="1" applyBorder="1" applyAlignment="1">
      <alignment horizontal="left"/>
    </xf>
    <xf numFmtId="3" fontId="12" fillId="7" borderId="3" xfId="0" applyNumberFormat="1" applyFont="1" applyFill="1" applyBorder="1" applyAlignment="1">
      <alignment horizontal="right"/>
    </xf>
    <xf numFmtId="0" fontId="12" fillId="0" borderId="3" xfId="0" applyFont="1" applyBorder="1" applyAlignment="1">
      <alignment horizontal="left"/>
    </xf>
    <xf numFmtId="3" fontId="12" fillId="0" borderId="3" xfId="0" applyNumberFormat="1" applyFont="1" applyBorder="1" applyAlignment="1">
      <alignment horizontal="right"/>
    </xf>
    <xf numFmtId="0" fontId="13" fillId="7" borderId="3" xfId="0" applyFont="1" applyFill="1" applyBorder="1" applyAlignment="1">
      <alignment horizontal="left"/>
    </xf>
    <xf numFmtId="3" fontId="13" fillId="7" borderId="3" xfId="0" applyNumberFormat="1" applyFont="1" applyFill="1" applyBorder="1" applyAlignment="1">
      <alignment horizontal="right"/>
    </xf>
    <xf numFmtId="0" fontId="12" fillId="11" borderId="3" xfId="0" applyFont="1" applyFill="1" applyBorder="1" applyAlignment="1">
      <alignment horizontal="left"/>
    </xf>
    <xf numFmtId="3" fontId="12" fillId="11" borderId="3" xfId="0" applyNumberFormat="1" applyFont="1" applyFill="1" applyBorder="1" applyAlignment="1">
      <alignment horizontal="right"/>
    </xf>
    <xf numFmtId="3" fontId="14" fillId="12" borderId="3" xfId="0" applyNumberFormat="1" applyFont="1" applyFill="1" applyBorder="1" applyAlignment="1">
      <alignment horizontal="right"/>
    </xf>
    <xf numFmtId="0" fontId="8" fillId="0" borderId="3" xfId="0" applyFont="1" applyBorder="1" applyAlignment="1">
      <alignment horizontal="left"/>
    </xf>
    <xf numFmtId="3" fontId="8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left"/>
    </xf>
    <xf numFmtId="164" fontId="11" fillId="0" borderId="3" xfId="0" applyNumberFormat="1" applyFon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15" fillId="13" borderId="3" xfId="0" applyFont="1" applyFill="1" applyBorder="1" applyAlignment="1">
      <alignment horizontal="left"/>
    </xf>
    <xf numFmtId="165" fontId="15" fillId="13" borderId="3" xfId="0" applyNumberFormat="1" applyFont="1" applyFill="1" applyBorder="1" applyAlignment="1">
      <alignment horizontal="right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center" vertical="center"/>
    </xf>
    <xf numFmtId="0" fontId="8" fillId="0" borderId="0" xfId="0" applyFont="1"/>
    <xf numFmtId="164" fontId="17" fillId="15" borderId="0" xfId="0" applyNumberFormat="1" applyFont="1" applyFill="1"/>
    <xf numFmtId="3" fontId="18" fillId="15" borderId="0" xfId="0" applyNumberFormat="1" applyFont="1" applyFill="1"/>
    <xf numFmtId="0" fontId="18" fillId="15" borderId="0" xfId="0" applyFont="1" applyFill="1"/>
    <xf numFmtId="0" fontId="10" fillId="16" borderId="0" xfId="0" applyFont="1" applyFill="1"/>
    <xf numFmtId="3" fontId="11" fillId="16" borderId="0" xfId="0" applyNumberFormat="1" applyFont="1" applyFill="1"/>
    <xf numFmtId="0" fontId="18" fillId="17" borderId="0" xfId="0" applyFont="1" applyFill="1"/>
    <xf numFmtId="2" fontId="18" fillId="17" borderId="0" xfId="0" applyNumberFormat="1" applyFont="1" applyFill="1"/>
    <xf numFmtId="0" fontId="15" fillId="18" borderId="0" xfId="0" applyFont="1" applyFill="1"/>
    <xf numFmtId="165" fontId="19" fillId="18" borderId="0" xfId="0" applyNumberFormat="1" applyFont="1" applyFill="1"/>
    <xf numFmtId="0" fontId="3" fillId="5" borderId="3" xfId="0" applyFont="1" applyFill="1" applyBorder="1"/>
    <xf numFmtId="3" fontId="9" fillId="10" borderId="3" xfId="0" applyNumberFormat="1" applyFont="1" applyFill="1" applyBorder="1"/>
    <xf numFmtId="3" fontId="14" fillId="12" borderId="3" xfId="0" applyNumberFormat="1" applyFont="1" applyFill="1" applyBorder="1"/>
    <xf numFmtId="0" fontId="3" fillId="14" borderId="3" xfId="0" applyFont="1" applyFill="1" applyBorder="1" applyAlignment="1">
      <alignment horizontal="left"/>
    </xf>
    <xf numFmtId="0" fontId="3" fillId="14" borderId="3" xfId="0" applyFont="1" applyFill="1" applyBorder="1" applyAlignment="1">
      <alignment horizontal="center"/>
    </xf>
    <xf numFmtId="0" fontId="3" fillId="19" borderId="3" xfId="0" applyFont="1" applyFill="1" applyBorder="1"/>
    <xf numFmtId="0" fontId="11" fillId="10" borderId="3" xfId="0" applyFont="1" applyFill="1" applyBorder="1"/>
    <xf numFmtId="3" fontId="0" fillId="10" borderId="3" xfId="0" applyNumberFormat="1" applyFill="1" applyBorder="1"/>
    <xf numFmtId="164" fontId="0" fillId="10" borderId="3" xfId="0" applyNumberFormat="1" applyFill="1" applyBorder="1"/>
    <xf numFmtId="0" fontId="3" fillId="14" borderId="3" xfId="0" applyFont="1" applyFill="1" applyBorder="1"/>
    <xf numFmtId="3" fontId="0" fillId="15" borderId="3" xfId="0" applyNumberFormat="1" applyFill="1" applyBorder="1"/>
    <xf numFmtId="164" fontId="0" fillId="15" borderId="3" xfId="0" applyNumberFormat="1" applyFill="1" applyBorder="1"/>
    <xf numFmtId="3" fontId="0" fillId="12" borderId="3" xfId="0" applyNumberFormat="1" applyFill="1" applyBorder="1"/>
    <xf numFmtId="164" fontId="0" fillId="12" borderId="3" xfId="0" applyNumberFormat="1" applyFill="1" applyBorder="1"/>
    <xf numFmtId="0" fontId="3" fillId="8" borderId="2" xfId="0" applyFont="1" applyFill="1" applyBorder="1"/>
    <xf numFmtId="0" fontId="0" fillId="8" borderId="2" xfId="0" applyFill="1" applyBorder="1"/>
    <xf numFmtId="3" fontId="3" fillId="8" borderId="2" xfId="0" applyNumberFormat="1" applyFont="1" applyFill="1" applyBorder="1"/>
    <xf numFmtId="164" fontId="3" fillId="8" borderId="2" xfId="0" applyNumberFormat="1" applyFont="1" applyFill="1" applyBorder="1"/>
    <xf numFmtId="0" fontId="9" fillId="10" borderId="3" xfId="0" applyFont="1" applyFill="1" applyBorder="1"/>
    <xf numFmtId="0" fontId="18" fillId="15" borderId="3" xfId="0" applyFont="1" applyFill="1" applyBorder="1"/>
    <xf numFmtId="3" fontId="18" fillId="15" borderId="3" xfId="0" applyNumberFormat="1" applyFont="1" applyFill="1" applyBorder="1"/>
    <xf numFmtId="0" fontId="3" fillId="8" borderId="3" xfId="0" applyFont="1" applyFill="1" applyBorder="1"/>
    <xf numFmtId="3" fontId="3" fillId="8" borderId="3" xfId="0" applyNumberFormat="1" applyFont="1" applyFill="1" applyBorder="1"/>
    <xf numFmtId="0" fontId="8" fillId="21" borderId="3" xfId="0" applyFont="1" applyFill="1" applyBorder="1"/>
    <xf numFmtId="164" fontId="12" fillId="21" borderId="3" xfId="0" applyNumberFormat="1" applyFont="1" applyFill="1" applyBorder="1"/>
    <xf numFmtId="0" fontId="8" fillId="22" borderId="3" xfId="0" applyFont="1" applyFill="1" applyBorder="1"/>
    <xf numFmtId="164" fontId="12" fillId="22" borderId="3" xfId="0" applyNumberFormat="1" applyFont="1" applyFill="1" applyBorder="1"/>
    <xf numFmtId="0" fontId="4" fillId="5" borderId="2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left" vertical="center"/>
    </xf>
    <xf numFmtId="166" fontId="17" fillId="21" borderId="3" xfId="0" applyNumberFormat="1" applyFont="1" applyFill="1" applyBorder="1" applyAlignment="1">
      <alignment horizontal="center" vertical="center"/>
    </xf>
    <xf numFmtId="3" fontId="17" fillId="21" borderId="3" xfId="0" applyNumberFormat="1" applyFont="1" applyFill="1" applyBorder="1" applyAlignment="1">
      <alignment horizontal="center" vertical="center"/>
    </xf>
    <xf numFmtId="3" fontId="12" fillId="21" borderId="3" xfId="0" applyNumberFormat="1" applyFont="1" applyFill="1" applyBorder="1" applyAlignment="1">
      <alignment horizontal="center" vertical="center"/>
    </xf>
    <xf numFmtId="3" fontId="8" fillId="21" borderId="3" xfId="0" applyNumberFormat="1" applyFont="1" applyFill="1" applyBorder="1" applyAlignment="1">
      <alignment horizontal="center" vertical="center"/>
    </xf>
    <xf numFmtId="1" fontId="12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/>
    <xf numFmtId="0" fontId="8" fillId="22" borderId="3" xfId="0" applyFont="1" applyFill="1" applyBorder="1" applyAlignment="1">
      <alignment horizontal="left" vertical="center"/>
    </xf>
    <xf numFmtId="166" fontId="17" fillId="22" borderId="3" xfId="0" applyNumberFormat="1" applyFont="1" applyFill="1" applyBorder="1" applyAlignment="1">
      <alignment horizontal="center" vertical="center"/>
    </xf>
    <xf numFmtId="3" fontId="17" fillId="22" borderId="3" xfId="0" applyNumberFormat="1" applyFont="1" applyFill="1" applyBorder="1" applyAlignment="1">
      <alignment horizontal="center" vertical="center"/>
    </xf>
    <xf numFmtId="3" fontId="12" fillId="22" borderId="3" xfId="0" applyNumberFormat="1" applyFont="1" applyFill="1" applyBorder="1" applyAlignment="1">
      <alignment horizontal="center" vertical="center"/>
    </xf>
    <xf numFmtId="3" fontId="8" fillId="22" borderId="3" xfId="0" applyNumberFormat="1" applyFont="1" applyFill="1" applyBorder="1" applyAlignment="1">
      <alignment horizontal="center" vertical="center"/>
    </xf>
    <xf numFmtId="1" fontId="12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/>
    <xf numFmtId="1" fontId="12" fillId="22" borderId="3" xfId="0" applyNumberFormat="1" applyFont="1" applyFill="1" applyBorder="1"/>
    <xf numFmtId="1" fontId="12" fillId="21" borderId="3" xfId="0" applyNumberFormat="1" applyFont="1" applyFill="1" applyBorder="1"/>
    <xf numFmtId="0" fontId="0" fillId="6" borderId="1" xfId="0" applyFill="1" applyBorder="1"/>
    <xf numFmtId="0" fontId="8" fillId="22" borderId="3" xfId="0" applyFont="1" applyFill="1" applyBorder="1" applyAlignment="1">
      <alignment horizontal="center" vertical="center" wrapText="1"/>
    </xf>
    <xf numFmtId="166" fontId="17" fillId="22" borderId="3" xfId="0" applyNumberFormat="1" applyFont="1" applyFill="1" applyBorder="1" applyAlignment="1">
      <alignment horizontal="center" vertical="center" wrapText="1"/>
    </xf>
    <xf numFmtId="3" fontId="17" fillId="22" borderId="3" xfId="0" applyNumberFormat="1" applyFont="1" applyFill="1" applyBorder="1" applyAlignment="1">
      <alignment horizontal="center" vertical="center" wrapText="1"/>
    </xf>
    <xf numFmtId="3" fontId="12" fillId="22" borderId="3" xfId="0" applyNumberFormat="1" applyFont="1" applyFill="1" applyBorder="1" applyAlignment="1">
      <alignment horizontal="center" vertical="center" wrapText="1"/>
    </xf>
    <xf numFmtId="3" fontId="8" fillId="22" borderId="3" xfId="0" applyNumberFormat="1" applyFont="1" applyFill="1" applyBorder="1" applyAlignment="1">
      <alignment horizontal="center" vertical="center" wrapText="1"/>
    </xf>
    <xf numFmtId="1" fontId="12" fillId="22" borderId="3" xfId="0" applyNumberFormat="1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166" fontId="3" fillId="8" borderId="2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5" fillId="11" borderId="4" xfId="0" applyNumberFormat="1" applyFont="1" applyFill="1" applyBorder="1" applyAlignment="1">
      <alignment horizontal="center" vertical="center"/>
    </xf>
    <xf numFmtId="1" fontId="13" fillId="22" borderId="3" xfId="0" applyNumberFormat="1" applyFont="1" applyFill="1" applyBorder="1"/>
    <xf numFmtId="2" fontId="17" fillId="0" borderId="0" xfId="0" applyNumberFormat="1" applyFont="1"/>
    <xf numFmtId="3" fontId="13" fillId="0" borderId="0" xfId="0" applyNumberFormat="1" applyFont="1"/>
    <xf numFmtId="0" fontId="22" fillId="0" borderId="0" xfId="0" applyFont="1"/>
    <xf numFmtId="0" fontId="23" fillId="0" borderId="0" xfId="0" applyFont="1"/>
    <xf numFmtId="0" fontId="5" fillId="11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4" fontId="5" fillId="11" borderId="4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7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3" fontId="6" fillId="23" borderId="1" xfId="0" applyNumberFormat="1" applyFont="1" applyFill="1" applyBorder="1" applyAlignment="1">
      <alignment horizontal="center" vertical="center"/>
    </xf>
    <xf numFmtId="0" fontId="0" fillId="23" borderId="1" xfId="0" applyFill="1" applyBorder="1"/>
    <xf numFmtId="3" fontId="5" fillId="23" borderId="1" xfId="0" applyNumberFormat="1" applyFont="1" applyFill="1" applyBorder="1" applyAlignment="1">
      <alignment horizontal="center" vertical="center"/>
    </xf>
    <xf numFmtId="164" fontId="6" fillId="23" borderId="1" xfId="0" applyNumberFormat="1" applyFont="1" applyFill="1" applyBorder="1" applyAlignment="1">
      <alignment horizontal="center" vertical="center"/>
    </xf>
    <xf numFmtId="4" fontId="6" fillId="23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164" fontId="6" fillId="24" borderId="1" xfId="0" applyNumberFormat="1" applyFont="1" applyFill="1" applyBorder="1" applyAlignment="1">
      <alignment horizontal="center" vertical="center"/>
    </xf>
    <xf numFmtId="164" fontId="6" fillId="25" borderId="1" xfId="0" applyNumberFormat="1" applyFont="1" applyFill="1" applyBorder="1" applyAlignment="1">
      <alignment horizontal="center" vertical="center"/>
    </xf>
    <xf numFmtId="164" fontId="6" fillId="26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25" fillId="0" borderId="0" xfId="0" applyFont="1"/>
    <xf numFmtId="166" fontId="17" fillId="22" borderId="3" xfId="0" applyNumberFormat="1" applyFont="1" applyFill="1" applyBorder="1" applyAlignment="1">
      <alignment horizontal="center"/>
    </xf>
    <xf numFmtId="3" fontId="17" fillId="22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3" fontId="8" fillId="22" borderId="3" xfId="0" applyNumberFormat="1" applyFont="1" applyFill="1" applyBorder="1" applyAlignment="1">
      <alignment horizontal="center"/>
    </xf>
    <xf numFmtId="1" fontId="12" fillId="22" borderId="3" xfId="0" applyNumberFormat="1" applyFont="1" applyFill="1" applyBorder="1" applyAlignment="1">
      <alignment horizontal="center"/>
    </xf>
    <xf numFmtId="166" fontId="17" fillId="21" borderId="3" xfId="0" applyNumberFormat="1" applyFont="1" applyFill="1" applyBorder="1" applyAlignment="1">
      <alignment horizontal="center"/>
    </xf>
    <xf numFmtId="3" fontId="17" fillId="21" borderId="3" xfId="0" applyNumberFormat="1" applyFont="1" applyFill="1" applyBorder="1" applyAlignment="1">
      <alignment horizontal="center"/>
    </xf>
    <xf numFmtId="3" fontId="12" fillId="21" borderId="3" xfId="0" applyNumberFormat="1" applyFont="1" applyFill="1" applyBorder="1" applyAlignment="1">
      <alignment horizontal="center"/>
    </xf>
    <xf numFmtId="3" fontId="8" fillId="21" borderId="3" xfId="0" applyNumberFormat="1" applyFont="1" applyFill="1" applyBorder="1" applyAlignment="1">
      <alignment horizontal="center"/>
    </xf>
    <xf numFmtId="1" fontId="12" fillId="21" borderId="3" xfId="0" applyNumberFormat="1" applyFont="1" applyFill="1" applyBorder="1" applyAlignment="1">
      <alignment horizontal="center"/>
    </xf>
    <xf numFmtId="0" fontId="16" fillId="27" borderId="0" xfId="0" applyFont="1" applyFill="1"/>
    <xf numFmtId="0" fontId="3" fillId="27" borderId="8" xfId="0" applyFont="1" applyFill="1" applyBorder="1"/>
    <xf numFmtId="0" fontId="10" fillId="0" borderId="8" xfId="0" applyFont="1" applyBorder="1"/>
    <xf numFmtId="0" fontId="8" fillId="29" borderId="8" xfId="0" applyFont="1" applyFill="1" applyBorder="1"/>
    <xf numFmtId="1" fontId="17" fillId="29" borderId="8" xfId="0" applyNumberFormat="1" applyFont="1" applyFill="1" applyBorder="1"/>
    <xf numFmtId="1" fontId="8" fillId="29" borderId="8" xfId="0" applyNumberFormat="1" applyFont="1" applyFill="1" applyBorder="1"/>
    <xf numFmtId="164" fontId="21" fillId="30" borderId="8" xfId="0" applyNumberFormat="1" applyFont="1" applyFill="1" applyBorder="1"/>
    <xf numFmtId="0" fontId="10" fillId="29" borderId="8" xfId="0" applyFont="1" applyFill="1" applyBorder="1"/>
    <xf numFmtId="0" fontId="8" fillId="31" borderId="8" xfId="0" applyFont="1" applyFill="1" applyBorder="1"/>
    <xf numFmtId="1" fontId="17" fillId="31" borderId="8" xfId="0" applyNumberFormat="1" applyFont="1" applyFill="1" applyBorder="1"/>
    <xf numFmtId="1" fontId="8" fillId="31" borderId="8" xfId="0" applyNumberFormat="1" applyFont="1" applyFill="1" applyBorder="1"/>
    <xf numFmtId="0" fontId="10" fillId="31" borderId="8" xfId="0" applyFont="1" applyFill="1" applyBorder="1"/>
    <xf numFmtId="0" fontId="0" fillId="0" borderId="8" xfId="0" applyBorder="1"/>
    <xf numFmtId="0" fontId="4" fillId="27" borderId="8" xfId="0" applyFont="1" applyFill="1" applyBorder="1"/>
    <xf numFmtId="3" fontId="6" fillId="0" borderId="9" xfId="0" applyNumberFormat="1" applyFont="1" applyBorder="1" applyAlignment="1">
      <alignment horizontal="center" vertical="center"/>
    </xf>
    <xf numFmtId="0" fontId="0" fillId="32" borderId="8" xfId="0" applyFill="1" applyBorder="1"/>
    <xf numFmtId="0" fontId="3" fillId="33" borderId="8" xfId="0" applyFont="1" applyFill="1" applyBorder="1" applyAlignment="1">
      <alignment horizontal="center" vertical="center" wrapText="1"/>
    </xf>
    <xf numFmtId="0" fontId="6" fillId="28" borderId="8" xfId="0" applyFont="1" applyFill="1" applyBorder="1" applyAlignment="1">
      <alignment horizontal="center" vertical="center"/>
    </xf>
    <xf numFmtId="3" fontId="5" fillId="34" borderId="8" xfId="0" applyNumberFormat="1" applyFont="1" applyFill="1" applyBorder="1" applyAlignment="1">
      <alignment horizontal="center" vertical="center"/>
    </xf>
    <xf numFmtId="0" fontId="27" fillId="20" borderId="3" xfId="0" applyFont="1" applyFill="1" applyBorder="1"/>
    <xf numFmtId="0" fontId="28" fillId="12" borderId="3" xfId="0" applyFont="1" applyFill="1" applyBorder="1"/>
    <xf numFmtId="0" fontId="29" fillId="12" borderId="3" xfId="0" applyFont="1" applyFill="1" applyBorder="1"/>
    <xf numFmtId="0" fontId="27" fillId="14" borderId="3" xfId="0" applyFont="1" applyFill="1" applyBorder="1" applyAlignment="1">
      <alignment horizontal="center"/>
    </xf>
    <xf numFmtId="0" fontId="30" fillId="10" borderId="3" xfId="0" applyFont="1" applyFill="1" applyBorder="1"/>
    <xf numFmtId="0" fontId="30" fillId="15" borderId="3" xfId="0" applyFont="1" applyFill="1" applyBorder="1"/>
    <xf numFmtId="0" fontId="31" fillId="12" borderId="3" xfId="0" applyFont="1" applyFill="1" applyBorder="1"/>
    <xf numFmtId="0" fontId="28" fillId="15" borderId="3" xfId="0" applyFont="1" applyFill="1" applyBorder="1"/>
    <xf numFmtId="0" fontId="3" fillId="8" borderId="0" xfId="0" applyFont="1" applyFill="1"/>
    <xf numFmtId="3" fontId="3" fillId="8" borderId="0" xfId="0" applyNumberFormat="1" applyFont="1" applyFill="1"/>
    <xf numFmtId="0" fontId="14" fillId="36" borderId="8" xfId="0" applyFont="1" applyFill="1" applyBorder="1"/>
    <xf numFmtId="0" fontId="16" fillId="35" borderId="8" xfId="0" applyFont="1" applyFill="1" applyBorder="1"/>
    <xf numFmtId="0" fontId="11" fillId="36" borderId="8" xfId="0" applyFont="1" applyFill="1" applyBorder="1"/>
    <xf numFmtId="0" fontId="0" fillId="28" borderId="8" xfId="0" applyFill="1" applyBorder="1"/>
    <xf numFmtId="0" fontId="35" fillId="7" borderId="3" xfId="0" applyFont="1" applyFill="1" applyBorder="1" applyAlignment="1">
      <alignment horizontal="left"/>
    </xf>
    <xf numFmtId="0" fontId="31" fillId="12" borderId="3" xfId="0" applyFont="1" applyFill="1" applyBorder="1" applyAlignment="1">
      <alignment horizontal="left"/>
    </xf>
    <xf numFmtId="0" fontId="0" fillId="0" borderId="0" xfId="0"/>
    <xf numFmtId="0" fontId="10" fillId="0" borderId="0" xfId="0" applyFont="1"/>
    <xf numFmtId="0" fontId="34" fillId="3" borderId="0" xfId="0" applyFont="1" applyFill="1"/>
    <xf numFmtId="0" fontId="0" fillId="0" borderId="0" xfId="0"/>
    <xf numFmtId="0" fontId="3" fillId="5" borderId="3" xfId="0" applyFont="1" applyFill="1" applyBorder="1" applyAlignment="1">
      <alignment horizontal="left"/>
    </xf>
    <xf numFmtId="0" fontId="0" fillId="0" borderId="3" xfId="0" applyBorder="1"/>
    <xf numFmtId="0" fontId="33" fillId="2" borderId="0" xfId="0" applyFont="1" applyFill="1"/>
    <xf numFmtId="0" fontId="32" fillId="14" borderId="0" xfId="0" applyFont="1" applyFill="1"/>
    <xf numFmtId="0" fontId="1" fillId="2" borderId="0" xfId="0" applyFont="1" applyFill="1"/>
    <xf numFmtId="0" fontId="3" fillId="5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6" fillId="15" borderId="0" xfId="0" applyFont="1" applyFill="1"/>
    <xf numFmtId="0" fontId="20" fillId="2" borderId="0" xfId="0" applyFont="1" applyFill="1"/>
    <xf numFmtId="0" fontId="32" fillId="5" borderId="0" xfId="0" applyFont="1" applyFill="1"/>
    <xf numFmtId="0" fontId="26" fillId="2" borderId="0" xfId="0" applyFont="1" applyFill="1"/>
    <xf numFmtId="0" fontId="16" fillId="5" borderId="0" xfId="0" applyFont="1" applyFill="1"/>
    <xf numFmtId="0" fontId="10" fillId="0" borderId="0" xfId="0" applyFont="1"/>
    <xf numFmtId="0" fontId="16" fillId="5" borderId="4" xfId="0" applyFont="1" applyFill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2828"/>
      <rgbColor rgb="FFF4F6F7"/>
      <rgbColor rgb="FF0000FF"/>
      <rgbColor rgb="FFE8F5E9"/>
      <rgbColor rgb="FFF5F7FA"/>
      <rgbColor rgb="FFEBF5FB"/>
      <rgbColor rgb="FFD32F2F"/>
      <rgbColor rgb="FF008000"/>
      <rgbColor rgb="FF000080"/>
      <rgbColor rgb="FF2E7D32"/>
      <rgbColor rgb="FF800080"/>
      <rgbColor rgb="FF2980B9"/>
      <rgbColor rgb="FFBDC3C7"/>
      <rgbColor rgb="FF5F7A99"/>
      <rgbColor rgb="FFB0BEC5"/>
      <rgbColor rgb="FF8E44AD"/>
      <rgbColor rgb="FFFFF3E0"/>
      <rgbColor rgb="FFE3F2FD"/>
      <rgbColor rgb="FF660066"/>
      <rgbColor rgb="FFE67E22"/>
      <rgbColor rgb="FF1565C0"/>
      <rgbColor rgb="FFD0D8E4"/>
      <rgbColor rgb="FF000080"/>
      <rgbColor rgb="FFFF00FF"/>
      <rgbColor rgb="FFFFEBEE"/>
      <rgbColor rgb="FFECEFF1"/>
      <rgbColor rgb="FF800080"/>
      <rgbColor rgb="FFE74C3C"/>
      <rgbColor rgb="FF2E86C1"/>
      <rgbColor rgb="FF0000FF"/>
      <rgbColor rgb="FFF2F5F9"/>
      <rgbColor rgb="FFD6EAF8"/>
      <rgbColor rgb="FFD5F5E3"/>
      <rgbColor rgb="FFF9E79F"/>
      <rgbColor rgb="FFBBDEFB"/>
      <rgbColor rgb="FFFADBD8"/>
      <rgbColor rgb="FFD5DBDB"/>
      <rgbColor rgb="FFFFCDD2"/>
      <rgbColor rgb="FF3A7BD5"/>
      <rgbColor rgb="FFE8EAF6"/>
      <rgbColor rgb="FFC8E6C9"/>
      <rgbColor rgb="FFD4AC0D"/>
      <rgbColor rgb="FFFF8F00"/>
      <rgbColor rgb="FFE65100"/>
      <rgbColor rgb="FF5A6A7A"/>
      <rgbColor rgb="FF999999"/>
      <rgbColor rgb="FF1B2335"/>
      <rgbColor rgb="FF27AE60"/>
      <rgbColor rgb="FF003300"/>
      <rgbColor rgb="FF4E342E"/>
      <rgbColor rgb="FFB71C1C"/>
      <rgbColor rgb="FFC0392B"/>
      <rgbColor rgb="FF2C3E50"/>
      <rgbColor rgb="FF2A3A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H42"/>
  <sheetViews>
    <sheetView topLeftCell="A4" zoomScaleNormal="100" workbookViewId="0">
      <selection activeCell="H27" sqref="H27"/>
    </sheetView>
  </sheetViews>
  <sheetFormatPr defaultColWidth="8.6640625" defaultRowHeight="14.4" x14ac:dyDescent="0.3"/>
  <cols>
    <col min="1" max="1" width="42" style="179" customWidth="1"/>
    <col min="2" max="8" width="16" style="179" customWidth="1"/>
  </cols>
  <sheetData>
    <row r="1" spans="1:8" ht="15.75" customHeight="1" x14ac:dyDescent="0.35">
      <c r="A1" s="187" t="s">
        <v>0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185" t="s">
        <v>1</v>
      </c>
      <c r="B2" s="182"/>
      <c r="C2" s="182"/>
      <c r="D2" s="182"/>
      <c r="E2" s="182"/>
      <c r="F2" s="182"/>
      <c r="G2" s="182"/>
      <c r="H2" s="182"/>
    </row>
    <row r="3" spans="1:8" ht="15" customHeight="1" x14ac:dyDescent="0.3">
      <c r="A3" s="181" t="s">
        <v>2</v>
      </c>
      <c r="B3" s="182"/>
      <c r="C3" s="182"/>
      <c r="D3" s="182"/>
      <c r="E3" s="182"/>
      <c r="F3" s="182"/>
      <c r="G3" s="182"/>
      <c r="H3" s="182"/>
    </row>
    <row r="4" spans="1:8" ht="18" customHeight="1" x14ac:dyDescent="0.3">
      <c r="A4" s="1"/>
      <c r="B4" s="1"/>
      <c r="C4" s="1"/>
      <c r="D4" s="1"/>
      <c r="E4" s="1"/>
      <c r="F4" s="1"/>
      <c r="G4" s="1"/>
      <c r="H4" s="1"/>
    </row>
    <row r="5" spans="1:8" ht="15" customHeight="1" x14ac:dyDescent="0.3">
      <c r="A5" s="2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15" customHeight="1" x14ac:dyDescent="0.3">
      <c r="A6" s="188" t="s">
        <v>10</v>
      </c>
      <c r="B6" s="189"/>
      <c r="C6" s="189"/>
      <c r="D6" s="189"/>
      <c r="E6" s="189"/>
      <c r="F6" s="189"/>
      <c r="G6" s="189"/>
      <c r="H6" s="190"/>
    </row>
    <row r="7" spans="1:8" ht="15" customHeight="1" x14ac:dyDescent="0.3">
      <c r="A7" s="4" t="s">
        <v>11</v>
      </c>
      <c r="B7" s="5">
        <v>483600</v>
      </c>
      <c r="C7" s="5">
        <v>507780</v>
      </c>
      <c r="D7" s="5">
        <v>531960</v>
      </c>
      <c r="E7" s="5">
        <v>425568</v>
      </c>
      <c r="F7" s="5">
        <v>338520</v>
      </c>
      <c r="G7" s="5">
        <v>280488</v>
      </c>
      <c r="H7" s="5">
        <f>'Revenue Streams'!H12+'Revenue Streams'!H14</f>
        <v>2930886</v>
      </c>
    </row>
    <row r="8" spans="1:8" ht="15" customHeight="1" x14ac:dyDescent="0.3">
      <c r="A8" s="177" t="s">
        <v>12</v>
      </c>
      <c r="B8" s="7">
        <v>296400</v>
      </c>
      <c r="C8" s="7">
        <v>311220</v>
      </c>
      <c r="D8" s="7">
        <v>326040</v>
      </c>
      <c r="E8" s="7">
        <v>260832</v>
      </c>
      <c r="F8" s="7">
        <v>207480</v>
      </c>
      <c r="G8" s="7">
        <v>171912</v>
      </c>
      <c r="H8" s="7">
        <f>'Revenue Streams'!H13</f>
        <v>1736757</v>
      </c>
    </row>
    <row r="9" spans="1:8" ht="15" customHeight="1" x14ac:dyDescent="0.3">
      <c r="A9" s="8" t="s">
        <v>13</v>
      </c>
      <c r="B9" s="9">
        <f t="shared" ref="B9:H9" si="0">B7+B8</f>
        <v>780000</v>
      </c>
      <c r="C9" s="9">
        <f t="shared" si="0"/>
        <v>819000</v>
      </c>
      <c r="D9" s="9">
        <f t="shared" si="0"/>
        <v>858000</v>
      </c>
      <c r="E9" s="9">
        <f t="shared" si="0"/>
        <v>686400</v>
      </c>
      <c r="F9" s="9">
        <f t="shared" si="0"/>
        <v>546000</v>
      </c>
      <c r="G9" s="9">
        <f t="shared" si="0"/>
        <v>452400</v>
      </c>
      <c r="H9" s="9">
        <f t="shared" si="0"/>
        <v>4667643</v>
      </c>
    </row>
    <row r="10" spans="1:8" ht="15" customHeight="1" x14ac:dyDescent="0.3">
      <c r="A10" s="10" t="s">
        <v>14</v>
      </c>
      <c r="B10" s="11"/>
      <c r="C10" s="11"/>
      <c r="D10" s="11"/>
      <c r="E10" s="11"/>
      <c r="F10" s="11"/>
      <c r="G10" s="11"/>
      <c r="H10" s="11"/>
    </row>
    <row r="11" spans="1:8" ht="15" customHeight="1" x14ac:dyDescent="0.3">
      <c r="A11" s="4" t="s">
        <v>15</v>
      </c>
      <c r="B11" s="5">
        <v>244508</v>
      </c>
      <c r="C11" s="5">
        <v>251503</v>
      </c>
      <c r="D11" s="5">
        <v>258001</v>
      </c>
      <c r="E11" s="5">
        <v>228317</v>
      </c>
      <c r="F11" s="5">
        <v>192076</v>
      </c>
      <c r="G11" s="5">
        <v>173594</v>
      </c>
      <c r="H11" s="5">
        <f>SUM(B11:G11)</f>
        <v>1347999</v>
      </c>
    </row>
    <row r="12" spans="1:8" ht="15" customHeight="1" x14ac:dyDescent="0.3">
      <c r="A12" s="6" t="s">
        <v>16</v>
      </c>
      <c r="B12" s="7">
        <v>158396</v>
      </c>
      <c r="C12" s="7">
        <v>163297</v>
      </c>
      <c r="D12" s="7">
        <v>167911</v>
      </c>
      <c r="E12" s="7">
        <v>146979</v>
      </c>
      <c r="F12" s="7">
        <v>122953</v>
      </c>
      <c r="G12" s="7">
        <v>110213</v>
      </c>
      <c r="H12" s="7">
        <f>SUM(B12:G12)</f>
        <v>869749</v>
      </c>
    </row>
    <row r="13" spans="1:8" ht="15" customHeight="1" x14ac:dyDescent="0.3">
      <c r="A13" s="12" t="s">
        <v>17</v>
      </c>
      <c r="B13" s="13">
        <f t="shared" ref="B13:H13" si="1">B11+B12</f>
        <v>402904</v>
      </c>
      <c r="C13" s="13">
        <f t="shared" si="1"/>
        <v>414800</v>
      </c>
      <c r="D13" s="13">
        <f t="shared" si="1"/>
        <v>425912</v>
      </c>
      <c r="E13" s="13">
        <f t="shared" si="1"/>
        <v>375296</v>
      </c>
      <c r="F13" s="13">
        <f t="shared" si="1"/>
        <v>315029</v>
      </c>
      <c r="G13" s="13">
        <f t="shared" si="1"/>
        <v>283807</v>
      </c>
      <c r="H13" s="13">
        <f t="shared" si="1"/>
        <v>2217748</v>
      </c>
    </row>
    <row r="14" spans="1:8" ht="15" customHeight="1" x14ac:dyDescent="0.3">
      <c r="A14" s="14" t="s">
        <v>18</v>
      </c>
      <c r="B14" s="15">
        <f t="shared" ref="B14:H14" si="2">B9-B13</f>
        <v>377096</v>
      </c>
      <c r="C14" s="15">
        <f t="shared" si="2"/>
        <v>404200</v>
      </c>
      <c r="D14" s="15">
        <f t="shared" si="2"/>
        <v>432088</v>
      </c>
      <c r="E14" s="15">
        <f t="shared" si="2"/>
        <v>311104</v>
      </c>
      <c r="F14" s="15">
        <f t="shared" si="2"/>
        <v>230971</v>
      </c>
      <c r="G14" s="15">
        <f t="shared" si="2"/>
        <v>168593</v>
      </c>
      <c r="H14" s="15">
        <f t="shared" si="2"/>
        <v>2449895</v>
      </c>
    </row>
    <row r="15" spans="1:8" ht="15" customHeight="1" x14ac:dyDescent="0.3">
      <c r="A15" s="16" t="s">
        <v>19</v>
      </c>
      <c r="B15" s="17">
        <f t="shared" ref="B15:H15" si="3">B14/B9</f>
        <v>0.48345641025641023</v>
      </c>
      <c r="C15" s="17">
        <f t="shared" si="3"/>
        <v>0.49352869352869355</v>
      </c>
      <c r="D15" s="17">
        <f t="shared" si="3"/>
        <v>0.50359906759906758</v>
      </c>
      <c r="E15" s="17">
        <f t="shared" si="3"/>
        <v>0.45324009324009323</v>
      </c>
      <c r="F15" s="17">
        <f t="shared" si="3"/>
        <v>0.42302380952380952</v>
      </c>
      <c r="G15" s="17">
        <f t="shared" si="3"/>
        <v>0.37266357206012379</v>
      </c>
      <c r="H15" s="17">
        <f t="shared" si="3"/>
        <v>0.52486769018110424</v>
      </c>
    </row>
    <row r="16" spans="1:8" ht="15" customHeight="1" x14ac:dyDescent="0.3">
      <c r="A16" s="183" t="s">
        <v>20</v>
      </c>
      <c r="B16" s="184"/>
      <c r="C16" s="184"/>
      <c r="D16" s="184"/>
      <c r="E16" s="184"/>
      <c r="F16" s="184"/>
      <c r="G16" s="184"/>
      <c r="H16" s="184"/>
    </row>
    <row r="17" spans="1:8" ht="15" customHeight="1" x14ac:dyDescent="0.3">
      <c r="A17" s="18" t="s">
        <v>21</v>
      </c>
      <c r="B17" s="19">
        <v>82340</v>
      </c>
      <c r="C17" s="19">
        <v>98700</v>
      </c>
      <c r="D17" s="19">
        <v>91230</v>
      </c>
      <c r="E17" s="19">
        <v>64580</v>
      </c>
      <c r="F17" s="19">
        <v>48900</v>
      </c>
      <c r="G17" s="19">
        <v>31200</v>
      </c>
      <c r="H17" s="19">
        <f t="shared" ref="H17:H26" si="4">SUM(B17:G17)</f>
        <v>416950</v>
      </c>
    </row>
    <row r="18" spans="1:8" ht="15" customHeight="1" x14ac:dyDescent="0.3">
      <c r="A18" s="20" t="s">
        <v>22</v>
      </c>
      <c r="B18" s="21">
        <v>18760</v>
      </c>
      <c r="C18" s="21">
        <v>20340</v>
      </c>
      <c r="D18" s="21">
        <v>19480</v>
      </c>
      <c r="E18" s="21">
        <v>15620</v>
      </c>
      <c r="F18" s="21">
        <v>12340</v>
      </c>
      <c r="G18" s="21">
        <v>8230</v>
      </c>
      <c r="H18" s="21">
        <f t="shared" si="4"/>
        <v>94770</v>
      </c>
    </row>
    <row r="19" spans="1:8" ht="15" customHeight="1" x14ac:dyDescent="0.3">
      <c r="A19" s="22" t="s">
        <v>23</v>
      </c>
      <c r="B19" s="23">
        <v>191454</v>
      </c>
      <c r="C19" s="23">
        <v>217561</v>
      </c>
      <c r="D19" s="23">
        <v>217561</v>
      </c>
      <c r="E19" s="23">
        <v>217561</v>
      </c>
      <c r="F19" s="23">
        <v>204507</v>
      </c>
      <c r="G19" s="23">
        <v>180576</v>
      </c>
      <c r="H19" s="23">
        <f t="shared" si="4"/>
        <v>1229220</v>
      </c>
    </row>
    <row r="20" spans="1:8" ht="15" customHeight="1" x14ac:dyDescent="0.3">
      <c r="A20" s="20" t="s">
        <v>24</v>
      </c>
      <c r="B20" s="21">
        <v>31908</v>
      </c>
      <c r="C20" s="21">
        <v>41594</v>
      </c>
      <c r="D20" s="21">
        <v>38854</v>
      </c>
      <c r="E20" s="21">
        <v>34387</v>
      </c>
      <c r="F20" s="21">
        <v>27572</v>
      </c>
      <c r="G20" s="21">
        <v>18444</v>
      </c>
      <c r="H20" s="21">
        <f t="shared" si="4"/>
        <v>192759</v>
      </c>
    </row>
    <row r="21" spans="1:8" ht="15" customHeight="1" x14ac:dyDescent="0.3">
      <c r="A21" s="18" t="s">
        <v>25</v>
      </c>
      <c r="B21" s="19">
        <v>14436</v>
      </c>
      <c r="C21" s="19">
        <v>18778</v>
      </c>
      <c r="D21" s="19">
        <v>19492</v>
      </c>
      <c r="E21" s="19">
        <v>15195</v>
      </c>
      <c r="F21" s="19">
        <v>12479</v>
      </c>
      <c r="G21" s="19">
        <v>8381</v>
      </c>
      <c r="H21" s="19">
        <f t="shared" si="4"/>
        <v>88761</v>
      </c>
    </row>
    <row r="22" spans="1:8" ht="15" customHeight="1" x14ac:dyDescent="0.3">
      <c r="A22" s="20" t="s">
        <v>26</v>
      </c>
      <c r="B22" s="21">
        <v>9563</v>
      </c>
      <c r="C22" s="21">
        <v>11691</v>
      </c>
      <c r="D22" s="21">
        <v>12737</v>
      </c>
      <c r="E22" s="21">
        <v>10540</v>
      </c>
      <c r="F22" s="21">
        <v>7557</v>
      </c>
      <c r="G22" s="21">
        <v>5213</v>
      </c>
      <c r="H22" s="21">
        <f t="shared" si="4"/>
        <v>57301</v>
      </c>
    </row>
    <row r="23" spans="1:8" ht="15" customHeight="1" x14ac:dyDescent="0.3">
      <c r="A23" s="18" t="s">
        <v>27</v>
      </c>
      <c r="B23" s="19">
        <v>33200</v>
      </c>
      <c r="C23" s="19">
        <v>33200</v>
      </c>
      <c r="D23" s="19">
        <v>33200</v>
      </c>
      <c r="E23" s="19">
        <v>33200</v>
      </c>
      <c r="F23" s="19">
        <v>33200</v>
      </c>
      <c r="G23" s="19">
        <v>33200</v>
      </c>
      <c r="H23" s="19">
        <f t="shared" si="4"/>
        <v>199200</v>
      </c>
    </row>
    <row r="24" spans="1:8" ht="15" customHeight="1" x14ac:dyDescent="0.3">
      <c r="A24" s="20" t="s">
        <v>28</v>
      </c>
      <c r="B24" s="21">
        <v>8740</v>
      </c>
      <c r="C24" s="21">
        <v>8740</v>
      </c>
      <c r="D24" s="21">
        <v>8740</v>
      </c>
      <c r="E24" s="21">
        <v>8740</v>
      </c>
      <c r="F24" s="21">
        <v>8740</v>
      </c>
      <c r="G24" s="21">
        <v>8740</v>
      </c>
      <c r="H24" s="21">
        <f t="shared" si="4"/>
        <v>52440</v>
      </c>
    </row>
    <row r="25" spans="1:8" ht="15" customHeight="1" x14ac:dyDescent="0.3">
      <c r="A25" s="24" t="s">
        <v>29</v>
      </c>
      <c r="B25" s="25">
        <v>4100</v>
      </c>
      <c r="C25" s="25">
        <v>4100</v>
      </c>
      <c r="D25" s="25">
        <v>4100</v>
      </c>
      <c r="E25" s="25">
        <v>4100</v>
      </c>
      <c r="F25" s="25">
        <v>4100</v>
      </c>
      <c r="G25" s="25">
        <v>4100</v>
      </c>
      <c r="H25" s="25">
        <f t="shared" si="4"/>
        <v>24600</v>
      </c>
    </row>
    <row r="26" spans="1:8" ht="15" customHeight="1" x14ac:dyDescent="0.3">
      <c r="A26" s="20" t="s">
        <v>30</v>
      </c>
      <c r="B26" s="21">
        <v>7182</v>
      </c>
      <c r="C26" s="21">
        <v>8400</v>
      </c>
      <c r="D26" s="21">
        <v>9023</v>
      </c>
      <c r="E26" s="21">
        <v>7430</v>
      </c>
      <c r="F26" s="21">
        <v>5668</v>
      </c>
      <c r="G26" s="21">
        <v>4429</v>
      </c>
      <c r="H26" s="21">
        <f t="shared" si="4"/>
        <v>42132</v>
      </c>
    </row>
    <row r="27" spans="1:8" ht="15" customHeight="1" x14ac:dyDescent="0.3">
      <c r="A27" s="178" t="s">
        <v>31</v>
      </c>
      <c r="B27" s="26">
        <f t="shared" ref="B27:H27" si="5">B9*0.05</f>
        <v>39000</v>
      </c>
      <c r="C27" s="26">
        <f t="shared" si="5"/>
        <v>40950</v>
      </c>
      <c r="D27" s="26">
        <f t="shared" si="5"/>
        <v>42900</v>
      </c>
      <c r="E27" s="26">
        <f t="shared" si="5"/>
        <v>34320</v>
      </c>
      <c r="F27" s="26">
        <f t="shared" si="5"/>
        <v>27300</v>
      </c>
      <c r="G27" s="26">
        <f t="shared" si="5"/>
        <v>22620</v>
      </c>
      <c r="H27" s="26">
        <f t="shared" si="5"/>
        <v>233382.15000000002</v>
      </c>
    </row>
    <row r="28" spans="1:8" ht="15" customHeight="1" x14ac:dyDescent="0.3">
      <c r="A28" s="27" t="s">
        <v>32</v>
      </c>
      <c r="B28" s="28">
        <f t="shared" ref="B28:H28" si="6">SUM(B17:B27)</f>
        <v>440683</v>
      </c>
      <c r="C28" s="28">
        <f t="shared" si="6"/>
        <v>504054</v>
      </c>
      <c r="D28" s="28">
        <f t="shared" si="6"/>
        <v>497317</v>
      </c>
      <c r="E28" s="28">
        <f t="shared" si="6"/>
        <v>445673</v>
      </c>
      <c r="F28" s="28">
        <f t="shared" si="6"/>
        <v>392363</v>
      </c>
      <c r="G28" s="28">
        <f t="shared" si="6"/>
        <v>325133</v>
      </c>
      <c r="H28" s="28">
        <f t="shared" si="6"/>
        <v>2631515.15</v>
      </c>
    </row>
    <row r="29" spans="1:8" ht="15" customHeight="1" x14ac:dyDescent="0.3">
      <c r="A29" s="29" t="s">
        <v>33</v>
      </c>
      <c r="B29" s="30">
        <f t="shared" ref="B29:H29" si="7">B28/B9</f>
        <v>0.56497820512820518</v>
      </c>
      <c r="C29" s="30">
        <f t="shared" si="7"/>
        <v>0.61545054945054944</v>
      </c>
      <c r="D29" s="30">
        <f t="shared" si="7"/>
        <v>0.57962354312354314</v>
      </c>
      <c r="E29" s="30">
        <f t="shared" si="7"/>
        <v>0.64929050116550113</v>
      </c>
      <c r="F29" s="30">
        <f t="shared" si="7"/>
        <v>0.71861355311355313</v>
      </c>
      <c r="G29" s="30">
        <f t="shared" si="7"/>
        <v>0.71868479221927495</v>
      </c>
      <c r="H29" s="31">
        <f t="shared" si="7"/>
        <v>0.56377815312782065</v>
      </c>
    </row>
    <row r="30" spans="1:8" ht="15" customHeight="1" x14ac:dyDescent="0.3">
      <c r="A30" s="32" t="s">
        <v>34</v>
      </c>
      <c r="B30" s="33">
        <f t="shared" ref="B30:H30" si="8">B14-B28</f>
        <v>-63587</v>
      </c>
      <c r="C30" s="33">
        <f t="shared" si="8"/>
        <v>-99854</v>
      </c>
      <c r="D30" s="33">
        <f t="shared" si="8"/>
        <v>-65229</v>
      </c>
      <c r="E30" s="33">
        <f t="shared" si="8"/>
        <v>-134569</v>
      </c>
      <c r="F30" s="33">
        <f t="shared" si="8"/>
        <v>-161392</v>
      </c>
      <c r="G30" s="33">
        <f t="shared" si="8"/>
        <v>-156540</v>
      </c>
      <c r="H30" s="33">
        <f t="shared" si="8"/>
        <v>-181620.14999999991</v>
      </c>
    </row>
    <row r="31" spans="1:8" ht="15" customHeight="1" x14ac:dyDescent="0.3">
      <c r="A31" s="29" t="s">
        <v>35</v>
      </c>
      <c r="B31" s="30">
        <f t="shared" ref="B31:H31" si="9">B30/B9</f>
        <v>-8.1521794871794867E-2</v>
      </c>
      <c r="C31" s="30">
        <f t="shared" si="9"/>
        <v>-0.12192185592185592</v>
      </c>
      <c r="D31" s="30">
        <f t="shared" si="9"/>
        <v>-7.6024475524475527E-2</v>
      </c>
      <c r="E31" s="30">
        <f t="shared" si="9"/>
        <v>-0.19605040792540793</v>
      </c>
      <c r="F31" s="30">
        <f t="shared" si="9"/>
        <v>-0.2955897435897436</v>
      </c>
      <c r="G31" s="30">
        <f t="shared" si="9"/>
        <v>-0.34602122015915121</v>
      </c>
      <c r="H31" s="31">
        <f t="shared" si="9"/>
        <v>-3.8910462946716344E-2</v>
      </c>
    </row>
    <row r="33" spans="1:8" ht="15" customHeight="1" x14ac:dyDescent="0.3">
      <c r="A33" s="186" t="s">
        <v>36</v>
      </c>
      <c r="B33" s="182"/>
      <c r="C33" s="182"/>
      <c r="D33" s="182"/>
      <c r="E33" s="182"/>
      <c r="F33" s="182"/>
      <c r="G33" s="182"/>
      <c r="H33" s="182"/>
    </row>
    <row r="34" spans="1:8" ht="15" customHeight="1" x14ac:dyDescent="0.3">
      <c r="A34" s="191" t="s">
        <v>37</v>
      </c>
      <c r="B34" s="182"/>
      <c r="C34" s="182"/>
      <c r="D34" s="182"/>
      <c r="E34" s="182"/>
      <c r="F34" s="182"/>
      <c r="G34" s="182"/>
      <c r="H34" s="182"/>
    </row>
    <row r="35" spans="1:8" ht="15" customHeight="1" x14ac:dyDescent="0.3">
      <c r="A35" s="34"/>
      <c r="B35" s="35" t="s">
        <v>3</v>
      </c>
      <c r="C35" s="35" t="s">
        <v>4</v>
      </c>
      <c r="D35" s="35" t="s">
        <v>5</v>
      </c>
      <c r="E35" s="35" t="s">
        <v>6</v>
      </c>
      <c r="F35" s="35" t="s">
        <v>7</v>
      </c>
      <c r="G35" s="35" t="s">
        <v>8</v>
      </c>
      <c r="H35" s="35" t="s">
        <v>9</v>
      </c>
    </row>
    <row r="36" spans="1:8" ht="15" customHeight="1" x14ac:dyDescent="0.3">
      <c r="A36" s="36" t="s">
        <v>38</v>
      </c>
      <c r="B36" s="37">
        <v>0.06</v>
      </c>
      <c r="C36" s="37">
        <v>0.06</v>
      </c>
      <c r="D36" s="37">
        <v>0.06</v>
      </c>
      <c r="E36" s="37">
        <v>0.06</v>
      </c>
      <c r="F36" s="37">
        <v>0.06</v>
      </c>
      <c r="G36" s="37">
        <v>0.06</v>
      </c>
    </row>
    <row r="37" spans="1:8" ht="15" customHeight="1" x14ac:dyDescent="0.3">
      <c r="A37" s="36" t="s">
        <v>39</v>
      </c>
      <c r="B37" s="38">
        <f t="shared" ref="B37:G37" si="10">B9*0.06</f>
        <v>46800</v>
      </c>
      <c r="C37" s="38">
        <f t="shared" si="10"/>
        <v>49140</v>
      </c>
      <c r="D37" s="38">
        <f t="shared" si="10"/>
        <v>51480</v>
      </c>
      <c r="E37" s="38">
        <f t="shared" si="10"/>
        <v>41184</v>
      </c>
      <c r="F37" s="38">
        <f t="shared" si="10"/>
        <v>32760</v>
      </c>
      <c r="G37" s="38">
        <f t="shared" si="10"/>
        <v>27144</v>
      </c>
      <c r="H37" s="38">
        <f>SUM(B37:G37)</f>
        <v>248508</v>
      </c>
    </row>
    <row r="38" spans="1:8" ht="15" customHeight="1" x14ac:dyDescent="0.3">
      <c r="A38" s="39" t="s">
        <v>40</v>
      </c>
      <c r="B38" s="38">
        <v>47169.599999999999</v>
      </c>
      <c r="C38" s="38">
        <v>105840.3</v>
      </c>
      <c r="D38" s="38">
        <v>165189.54</v>
      </c>
      <c r="E38" s="38">
        <v>216193.5</v>
      </c>
      <c r="F38" s="38">
        <v>254206.38</v>
      </c>
      <c r="G38" s="38">
        <v>280058.58</v>
      </c>
      <c r="H38" s="38">
        <f>H37</f>
        <v>248508</v>
      </c>
    </row>
    <row r="39" spans="1:8" ht="15" customHeight="1" x14ac:dyDescent="0.3">
      <c r="A39" s="40" t="s">
        <v>41</v>
      </c>
      <c r="B39" s="41">
        <v>263601</v>
      </c>
      <c r="C39" s="41">
        <v>263601</v>
      </c>
      <c r="D39" s="41">
        <v>263601</v>
      </c>
      <c r="E39" s="41">
        <v>263601</v>
      </c>
      <c r="F39" s="41">
        <v>263601</v>
      </c>
      <c r="G39" s="41">
        <v>263601</v>
      </c>
    </row>
    <row r="40" spans="1:8" ht="15" customHeight="1" x14ac:dyDescent="0.3">
      <c r="A40" s="42" t="s">
        <v>42</v>
      </c>
      <c r="B40" s="43">
        <v>0.17894317548112501</v>
      </c>
      <c r="C40" s="43">
        <v>0.401517065565002</v>
      </c>
      <c r="D40" s="43">
        <v>0.62666507334949395</v>
      </c>
      <c r="E40" s="43">
        <v>0.82015432414899803</v>
      </c>
      <c r="F40" s="43">
        <v>0.96436045386777702</v>
      </c>
      <c r="G40" s="43">
        <v>1.06243367817269</v>
      </c>
      <c r="H40" s="43">
        <v>1.06243367817269</v>
      </c>
    </row>
    <row r="42" spans="1:8" ht="15" customHeight="1" x14ac:dyDescent="0.3">
      <c r="A42" s="44" t="s">
        <v>43</v>
      </c>
      <c r="B42" s="45">
        <f t="shared" ref="B42:H42" si="11">B30-B37</f>
        <v>-110387</v>
      </c>
      <c r="C42" s="45">
        <f t="shared" si="11"/>
        <v>-148994</v>
      </c>
      <c r="D42" s="45">
        <f t="shared" si="11"/>
        <v>-116709</v>
      </c>
      <c r="E42" s="45">
        <f t="shared" si="11"/>
        <v>-175753</v>
      </c>
      <c r="F42" s="45">
        <f t="shared" si="11"/>
        <v>-194152</v>
      </c>
      <c r="G42" s="45">
        <f t="shared" si="11"/>
        <v>-183684</v>
      </c>
      <c r="H42" s="45">
        <f t="shared" si="11"/>
        <v>-430128.14999999991</v>
      </c>
    </row>
  </sheetData>
  <mergeCells count="7">
    <mergeCell ref="A34:H34"/>
    <mergeCell ref="A3:H3"/>
    <mergeCell ref="A16:H16"/>
    <mergeCell ref="A2:H2"/>
    <mergeCell ref="A33:H33"/>
    <mergeCell ref="A1:H1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16" zoomScaleNormal="100" workbookViewId="0">
      <selection activeCell="B24" sqref="B24"/>
    </sheetView>
  </sheetViews>
  <sheetFormatPr defaultColWidth="8.6640625" defaultRowHeight="14.4" x14ac:dyDescent="0.3"/>
  <cols>
    <col min="1" max="1" width="36" style="179" customWidth="1"/>
    <col min="2" max="2" width="42" style="179" customWidth="1"/>
    <col min="3" max="7" width="16" style="179" customWidth="1"/>
  </cols>
  <sheetData>
    <row r="1" spans="1:8" ht="17.399999999999999" customHeight="1" x14ac:dyDescent="0.3">
      <c r="A1" s="192" t="s">
        <v>44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194" t="s">
        <v>45</v>
      </c>
      <c r="B2" s="182"/>
      <c r="C2" s="182"/>
      <c r="D2" s="182"/>
      <c r="E2" s="182"/>
      <c r="F2" s="182"/>
      <c r="G2" s="182"/>
      <c r="H2" s="182"/>
    </row>
    <row r="4" spans="1:8" ht="15" customHeight="1" x14ac:dyDescent="0.3">
      <c r="A4" s="49" t="s">
        <v>46</v>
      </c>
      <c r="B4" s="50" t="s">
        <v>47</v>
      </c>
      <c r="C4" s="50" t="s">
        <v>48</v>
      </c>
      <c r="D4" s="50" t="s">
        <v>49</v>
      </c>
      <c r="E4" s="50" t="s">
        <v>50</v>
      </c>
      <c r="F4" s="50" t="s">
        <v>51</v>
      </c>
      <c r="G4" s="166" t="s">
        <v>52</v>
      </c>
    </row>
    <row r="5" spans="1:8" ht="15" customHeight="1" x14ac:dyDescent="0.3">
      <c r="A5" s="51" t="s">
        <v>53</v>
      </c>
      <c r="B5" s="52" t="s">
        <v>54</v>
      </c>
      <c r="C5" s="53">
        <v>2344710</v>
      </c>
      <c r="D5" s="54">
        <v>0.50233276195287402</v>
      </c>
      <c r="E5" s="53">
        <v>99682</v>
      </c>
      <c r="F5" s="53">
        <v>1008225</v>
      </c>
      <c r="G5" s="167" t="s">
        <v>55</v>
      </c>
    </row>
    <row r="6" spans="1:8" ht="15" customHeight="1" x14ac:dyDescent="0.3">
      <c r="A6" s="55" t="s">
        <v>56</v>
      </c>
      <c r="B6" s="170" t="s">
        <v>57</v>
      </c>
      <c r="C6" s="56">
        <v>1736757</v>
      </c>
      <c r="D6" s="57">
        <v>0.37208436892024499</v>
      </c>
      <c r="E6" s="56">
        <v>70272</v>
      </c>
      <c r="F6" s="56">
        <v>642600</v>
      </c>
      <c r="G6" s="168" t="s">
        <v>58</v>
      </c>
    </row>
    <row r="7" spans="1:8" ht="15" customHeight="1" x14ac:dyDescent="0.3">
      <c r="A7" s="163" t="s">
        <v>59</v>
      </c>
      <c r="B7" s="164" t="s">
        <v>60</v>
      </c>
      <c r="C7" s="58">
        <v>586176</v>
      </c>
      <c r="D7" s="59">
        <v>0.12558286912688099</v>
      </c>
      <c r="E7" s="58">
        <v>47608</v>
      </c>
      <c r="F7" s="58">
        <v>222747</v>
      </c>
      <c r="G7" s="165" t="s">
        <v>61</v>
      </c>
    </row>
    <row r="8" spans="1:8" ht="15" customHeight="1" x14ac:dyDescent="0.3">
      <c r="A8" s="60" t="s">
        <v>62</v>
      </c>
      <c r="B8" s="61"/>
      <c r="C8" s="62">
        <f>SUM(C5:C7)</f>
        <v>4667643</v>
      </c>
      <c r="D8" s="63">
        <v>1</v>
      </c>
      <c r="E8" s="62">
        <v>217562</v>
      </c>
      <c r="F8" s="62">
        <f>SUM(F5:F7)</f>
        <v>1873572</v>
      </c>
      <c r="G8" s="61"/>
    </row>
    <row r="10" spans="1:8" ht="15" customHeight="1" x14ac:dyDescent="0.3">
      <c r="A10" s="195" t="s">
        <v>63</v>
      </c>
      <c r="B10" s="182"/>
      <c r="C10" s="182"/>
      <c r="D10" s="182"/>
      <c r="E10" s="182"/>
      <c r="F10" s="182"/>
      <c r="G10" s="182"/>
      <c r="H10" s="182"/>
    </row>
    <row r="11" spans="1:8" ht="15" customHeight="1" x14ac:dyDescent="0.3">
      <c r="A11" s="46"/>
      <c r="B11" s="46" t="s">
        <v>3</v>
      </c>
      <c r="C11" s="46" t="s">
        <v>4</v>
      </c>
      <c r="D11" s="46" t="s">
        <v>5</v>
      </c>
      <c r="E11" s="46" t="s">
        <v>6</v>
      </c>
      <c r="F11" s="46" t="s">
        <v>7</v>
      </c>
      <c r="G11" s="46" t="s">
        <v>8</v>
      </c>
      <c r="H11" s="46" t="s">
        <v>9</v>
      </c>
    </row>
    <row r="12" spans="1:8" ht="15" customHeight="1" x14ac:dyDescent="0.3">
      <c r="A12" s="64" t="s">
        <v>53</v>
      </c>
      <c r="B12" s="47">
        <v>392677</v>
      </c>
      <c r="C12" s="47">
        <v>489224</v>
      </c>
      <c r="D12" s="47">
        <v>492130</v>
      </c>
      <c r="E12" s="47">
        <v>432928</v>
      </c>
      <c r="F12" s="47">
        <v>318286</v>
      </c>
      <c r="G12" s="47">
        <v>219465</v>
      </c>
      <c r="H12" s="47">
        <f>SUM(B12:G12)</f>
        <v>2344710</v>
      </c>
    </row>
    <row r="13" spans="1:8" ht="15" customHeight="1" x14ac:dyDescent="0.3">
      <c r="A13" s="65" t="s">
        <v>56</v>
      </c>
      <c r="B13" s="66">
        <v>295314</v>
      </c>
      <c r="C13" s="66">
        <v>366315</v>
      </c>
      <c r="D13" s="66">
        <v>373992</v>
      </c>
      <c r="E13" s="66">
        <v>308906</v>
      </c>
      <c r="F13" s="66">
        <v>235691</v>
      </c>
      <c r="G13" s="66">
        <v>156539</v>
      </c>
      <c r="H13" s="66">
        <f>SUM(B13:G13)</f>
        <v>1736757</v>
      </c>
    </row>
    <row r="14" spans="1:8" ht="15" customHeight="1" x14ac:dyDescent="0.3">
      <c r="A14" s="169" t="s">
        <v>59</v>
      </c>
      <c r="B14" s="48">
        <v>98169</v>
      </c>
      <c r="C14" s="48">
        <v>122306</v>
      </c>
      <c r="D14" s="48">
        <v>123032</v>
      </c>
      <c r="E14" s="48">
        <v>108232</v>
      </c>
      <c r="F14" s="48">
        <v>79571</v>
      </c>
      <c r="G14" s="48">
        <v>54866</v>
      </c>
      <c r="H14" s="48">
        <f>SUM(B14:G14)</f>
        <v>586176</v>
      </c>
    </row>
    <row r="15" spans="1:8" ht="15" customHeight="1" x14ac:dyDescent="0.3">
      <c r="A15" s="67" t="s">
        <v>13</v>
      </c>
      <c r="B15" s="68">
        <f t="shared" ref="B15:H15" si="0">B12+B13+B14</f>
        <v>786160</v>
      </c>
      <c r="C15" s="68">
        <f t="shared" si="0"/>
        <v>977845</v>
      </c>
      <c r="D15" s="68">
        <f t="shared" si="0"/>
        <v>989154</v>
      </c>
      <c r="E15" s="68">
        <f t="shared" si="0"/>
        <v>850066</v>
      </c>
      <c r="F15" s="68">
        <f t="shared" si="0"/>
        <v>633548</v>
      </c>
      <c r="G15" s="68">
        <f t="shared" si="0"/>
        <v>430870</v>
      </c>
      <c r="H15" s="68">
        <f t="shared" si="0"/>
        <v>4667643</v>
      </c>
    </row>
    <row r="17" spans="1:7" ht="15" customHeight="1" x14ac:dyDescent="0.3">
      <c r="A17" s="193" t="s">
        <v>64</v>
      </c>
      <c r="B17" s="182"/>
      <c r="C17" s="182"/>
      <c r="D17" s="182"/>
    </row>
    <row r="18" spans="1:7" ht="15" customHeight="1" x14ac:dyDescent="0.3">
      <c r="A18" s="46" t="s">
        <v>65</v>
      </c>
      <c r="B18" s="46" t="s">
        <v>66</v>
      </c>
      <c r="C18" s="46" t="s">
        <v>67</v>
      </c>
      <c r="D18" s="46" t="s">
        <v>68</v>
      </c>
    </row>
    <row r="19" spans="1:7" ht="15" customHeight="1" x14ac:dyDescent="0.3">
      <c r="A19" s="69" t="s">
        <v>69</v>
      </c>
      <c r="B19" s="70">
        <v>0.4</v>
      </c>
      <c r="C19" s="70">
        <v>0.4</v>
      </c>
      <c r="D19" s="70">
        <v>0.2</v>
      </c>
    </row>
    <row r="20" spans="1:7" ht="15" customHeight="1" x14ac:dyDescent="0.3">
      <c r="A20" s="71" t="s">
        <v>70</v>
      </c>
      <c r="B20" s="72">
        <v>0.2</v>
      </c>
      <c r="C20" s="72">
        <v>0.6</v>
      </c>
      <c r="D20" s="72">
        <v>0.2</v>
      </c>
    </row>
    <row r="21" spans="1:7" ht="15" customHeight="1" x14ac:dyDescent="0.3">
      <c r="A21" s="69" t="s">
        <v>71</v>
      </c>
      <c r="B21" s="70">
        <v>0.34</v>
      </c>
      <c r="C21" s="70">
        <v>0.33</v>
      </c>
      <c r="D21" s="70">
        <v>0.33</v>
      </c>
    </row>
    <row r="22" spans="1:7" ht="15" customHeight="1" x14ac:dyDescent="0.3">
      <c r="A22" s="71" t="s">
        <v>72</v>
      </c>
      <c r="B22" s="72">
        <v>0.7</v>
      </c>
      <c r="C22" s="72">
        <v>0.1</v>
      </c>
      <c r="D22" s="72">
        <v>0.2</v>
      </c>
    </row>
    <row r="23" spans="1:7" ht="15" customHeight="1" x14ac:dyDescent="0.3">
      <c r="A23" s="69" t="s">
        <v>73</v>
      </c>
      <c r="B23" s="70">
        <v>0.6</v>
      </c>
      <c r="C23" s="70">
        <v>0.1</v>
      </c>
      <c r="D23" s="70">
        <v>0.3</v>
      </c>
    </row>
    <row r="24" spans="1:7" ht="15" customHeight="1" x14ac:dyDescent="0.3">
      <c r="A24" s="71" t="s">
        <v>74</v>
      </c>
      <c r="B24" s="72">
        <v>0.55000000000000004</v>
      </c>
      <c r="C24" s="72">
        <v>0.3</v>
      </c>
      <c r="D24" s="72">
        <v>0.15</v>
      </c>
    </row>
    <row r="25" spans="1:7" ht="15" customHeight="1" x14ac:dyDescent="0.3">
      <c r="A25" s="69" t="s">
        <v>75</v>
      </c>
      <c r="B25" s="70">
        <v>0.55000000000000004</v>
      </c>
      <c r="C25" s="70">
        <v>0.3</v>
      </c>
      <c r="D25" s="70">
        <v>0.15</v>
      </c>
    </row>
    <row r="26" spans="1:7" ht="15" customHeight="1" x14ac:dyDescent="0.3">
      <c r="A26" s="71" t="s">
        <v>76</v>
      </c>
      <c r="B26" s="72">
        <v>0.5</v>
      </c>
      <c r="C26" s="72">
        <v>0.35</v>
      </c>
      <c r="D26" s="72">
        <v>0.15</v>
      </c>
    </row>
    <row r="27" spans="1:7" ht="15" customHeight="1" x14ac:dyDescent="0.3">
      <c r="A27" s="69" t="s">
        <v>77</v>
      </c>
      <c r="B27" s="70">
        <v>0.5</v>
      </c>
      <c r="C27" s="70">
        <v>0.3</v>
      </c>
      <c r="D27" s="70">
        <v>0.2</v>
      </c>
    </row>
    <row r="28" spans="1:7" ht="15" customHeight="1" x14ac:dyDescent="0.3">
      <c r="A28" s="71" t="s">
        <v>78</v>
      </c>
      <c r="B28" s="72">
        <v>0.34</v>
      </c>
      <c r="C28" s="72">
        <v>0.33</v>
      </c>
      <c r="D28" s="72">
        <v>0.33</v>
      </c>
    </row>
    <row r="29" spans="1:7" ht="15" customHeight="1" x14ac:dyDescent="0.3">
      <c r="A29" s="171" t="s">
        <v>79</v>
      </c>
      <c r="B29" s="172">
        <v>99682</v>
      </c>
      <c r="C29" s="172">
        <v>70272</v>
      </c>
      <c r="D29" s="172">
        <v>47608</v>
      </c>
    </row>
    <row r="30" spans="1:7" x14ac:dyDescent="0.3">
      <c r="A30" s="156"/>
      <c r="B30" s="156"/>
      <c r="C30" s="156"/>
      <c r="D30" s="156"/>
      <c r="E30" s="156"/>
      <c r="F30" s="156"/>
      <c r="G30" s="156"/>
    </row>
    <row r="31" spans="1:7" ht="15" customHeight="1" x14ac:dyDescent="0.3">
      <c r="A31" s="174"/>
      <c r="B31" s="176"/>
      <c r="C31" s="176"/>
      <c r="D31" s="176"/>
      <c r="E31" s="176"/>
      <c r="F31" s="176"/>
      <c r="G31" s="176"/>
    </row>
    <row r="32" spans="1:7" ht="15" customHeight="1" x14ac:dyDescent="0.3">
      <c r="A32" s="173"/>
      <c r="B32" s="175"/>
      <c r="C32" s="176"/>
      <c r="D32" s="176"/>
      <c r="E32" s="176"/>
      <c r="F32" s="176"/>
      <c r="G32" s="176"/>
    </row>
    <row r="33" spans="1:7" ht="15" customHeight="1" x14ac:dyDescent="0.3">
      <c r="A33" s="173"/>
      <c r="B33" s="175"/>
      <c r="C33" s="176"/>
      <c r="D33" s="176"/>
      <c r="E33" s="176"/>
      <c r="F33" s="176"/>
      <c r="G33" s="176"/>
    </row>
    <row r="34" spans="1:7" ht="15" customHeight="1" x14ac:dyDescent="0.3">
      <c r="A34" s="173"/>
      <c r="B34" s="175"/>
      <c r="C34" s="176"/>
      <c r="D34" s="176"/>
      <c r="E34" s="176"/>
      <c r="F34" s="176"/>
      <c r="G34" s="176"/>
    </row>
    <row r="35" spans="1:7" ht="15" customHeight="1" x14ac:dyDescent="0.3">
      <c r="A35" s="173"/>
      <c r="B35" s="175"/>
      <c r="C35" s="176"/>
      <c r="D35" s="176"/>
      <c r="E35" s="176"/>
      <c r="F35" s="176"/>
      <c r="G35" s="176"/>
    </row>
    <row r="36" spans="1:7" x14ac:dyDescent="0.3">
      <c r="A36" s="176"/>
      <c r="B36" s="176"/>
      <c r="C36" s="176"/>
      <c r="D36" s="176"/>
      <c r="E36" s="176"/>
      <c r="F36" s="176"/>
      <c r="G36" s="176"/>
    </row>
    <row r="37" spans="1:7" x14ac:dyDescent="0.3">
      <c r="A37" s="156"/>
      <c r="B37" s="156"/>
      <c r="C37" s="156"/>
      <c r="D37" s="156"/>
      <c r="E37" s="156"/>
      <c r="F37" s="156"/>
      <c r="G37" s="156"/>
    </row>
    <row r="38" spans="1:7" x14ac:dyDescent="0.3">
      <c r="A38" s="156"/>
      <c r="B38" s="156"/>
      <c r="C38" s="156"/>
      <c r="D38" s="156"/>
      <c r="E38" s="156"/>
      <c r="F38" s="156"/>
      <c r="G38" s="156"/>
    </row>
    <row r="39" spans="1:7" x14ac:dyDescent="0.3">
      <c r="A39" s="156"/>
      <c r="B39" s="156"/>
      <c r="C39" s="156"/>
      <c r="D39" s="156"/>
      <c r="E39" s="156"/>
      <c r="F39" s="156"/>
      <c r="G39" s="156"/>
    </row>
  </sheetData>
  <mergeCells count="4">
    <mergeCell ref="A1:H1"/>
    <mergeCell ref="A17:D17"/>
    <mergeCell ref="A2:H2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H59"/>
  <sheetViews>
    <sheetView topLeftCell="A16" zoomScaleNormal="100" workbookViewId="0">
      <selection activeCell="B16" sqref="B16"/>
    </sheetView>
  </sheetViews>
  <sheetFormatPr defaultColWidth="8.6640625" defaultRowHeight="14.4" x14ac:dyDescent="0.3"/>
  <cols>
    <col min="1" max="1" width="38" style="179" customWidth="1"/>
    <col min="2" max="8" width="15" style="179" customWidth="1"/>
  </cols>
  <sheetData>
    <row r="1" spans="1:8" ht="15.75" customHeight="1" x14ac:dyDescent="0.3">
      <c r="A1" s="192" t="s">
        <v>80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200" t="s">
        <v>81</v>
      </c>
      <c r="B2" s="182"/>
      <c r="C2" s="182"/>
      <c r="D2" s="182"/>
      <c r="E2" s="182"/>
      <c r="F2" s="182"/>
      <c r="G2" s="182"/>
      <c r="H2" s="182"/>
    </row>
    <row r="4" spans="1:8" ht="21.75" customHeight="1" x14ac:dyDescent="0.3">
      <c r="A4" s="2" t="s">
        <v>82</v>
      </c>
      <c r="B4" s="73" t="s">
        <v>83</v>
      </c>
      <c r="C4" s="73" t="s">
        <v>84</v>
      </c>
      <c r="D4" s="73" t="s">
        <v>85</v>
      </c>
      <c r="E4" s="73" t="s">
        <v>86</v>
      </c>
      <c r="F4" s="73" t="s">
        <v>87</v>
      </c>
      <c r="G4" s="73" t="s">
        <v>88</v>
      </c>
      <c r="H4" s="176"/>
    </row>
    <row r="5" spans="1:8" ht="15" customHeight="1" x14ac:dyDescent="0.3">
      <c r="A5" s="74" t="s">
        <v>89</v>
      </c>
      <c r="B5" s="75">
        <v>0.8</v>
      </c>
      <c r="C5" s="76">
        <v>24938</v>
      </c>
      <c r="D5" s="77">
        <v>5486.36</v>
      </c>
      <c r="E5" s="78">
        <v>30424.36</v>
      </c>
      <c r="F5" s="79">
        <v>128</v>
      </c>
      <c r="G5" s="80" t="s">
        <v>90</v>
      </c>
      <c r="H5" s="176"/>
    </row>
    <row r="6" spans="1:8" ht="15" customHeight="1" x14ac:dyDescent="0.3">
      <c r="A6" s="81" t="s">
        <v>91</v>
      </c>
      <c r="B6" s="82">
        <v>1</v>
      </c>
      <c r="C6" s="83">
        <v>21974</v>
      </c>
      <c r="D6" s="84">
        <v>4834.28</v>
      </c>
      <c r="E6" s="85">
        <v>26808.28</v>
      </c>
      <c r="F6" s="86">
        <v>160</v>
      </c>
      <c r="G6" s="87" t="s">
        <v>92</v>
      </c>
      <c r="H6" s="176"/>
    </row>
    <row r="7" spans="1:8" ht="15" customHeight="1" x14ac:dyDescent="0.3">
      <c r="A7" s="74" t="s">
        <v>93</v>
      </c>
      <c r="B7" s="75">
        <v>1</v>
      </c>
      <c r="C7" s="76">
        <v>24775</v>
      </c>
      <c r="D7" s="77">
        <v>5450.5</v>
      </c>
      <c r="E7" s="78">
        <v>30225.5</v>
      </c>
      <c r="F7" s="79">
        <v>160</v>
      </c>
      <c r="G7" s="80" t="s">
        <v>94</v>
      </c>
      <c r="H7" s="176"/>
    </row>
    <row r="8" spans="1:8" ht="15" customHeight="1" x14ac:dyDescent="0.3">
      <c r="A8" s="81" t="s">
        <v>95</v>
      </c>
      <c r="B8" s="82">
        <v>0.7</v>
      </c>
      <c r="C8" s="83">
        <v>18493</v>
      </c>
      <c r="D8" s="84">
        <v>4068.46</v>
      </c>
      <c r="E8" s="85">
        <v>22561.46</v>
      </c>
      <c r="F8" s="86">
        <v>112</v>
      </c>
      <c r="G8" s="87" t="s">
        <v>96</v>
      </c>
      <c r="H8" s="176"/>
    </row>
    <row r="9" spans="1:8" ht="15" customHeight="1" x14ac:dyDescent="0.3">
      <c r="A9" s="74" t="s">
        <v>97</v>
      </c>
      <c r="B9" s="75">
        <v>0.6</v>
      </c>
      <c r="C9" s="76">
        <v>15445</v>
      </c>
      <c r="D9" s="77">
        <v>3397.9</v>
      </c>
      <c r="E9" s="78">
        <v>18842.900000000001</v>
      </c>
      <c r="F9" s="79">
        <v>96</v>
      </c>
      <c r="G9" s="80" t="s">
        <v>98</v>
      </c>
      <c r="H9" s="176"/>
    </row>
    <row r="10" spans="1:8" ht="15" customHeight="1" x14ac:dyDescent="0.3">
      <c r="A10" s="81" t="s">
        <v>99</v>
      </c>
      <c r="B10" s="82">
        <v>1</v>
      </c>
      <c r="C10" s="83">
        <v>16919</v>
      </c>
      <c r="D10" s="84">
        <v>3722.18</v>
      </c>
      <c r="E10" s="85">
        <v>20641.18</v>
      </c>
      <c r="F10" s="86">
        <v>160</v>
      </c>
      <c r="G10" s="87" t="s">
        <v>100</v>
      </c>
      <c r="H10" s="176"/>
    </row>
    <row r="11" spans="1:8" ht="15" customHeight="1" x14ac:dyDescent="0.3">
      <c r="A11" s="74" t="s">
        <v>101</v>
      </c>
      <c r="B11" s="75">
        <v>1</v>
      </c>
      <c r="C11" s="76">
        <v>17064</v>
      </c>
      <c r="D11" s="77">
        <v>3754.08</v>
      </c>
      <c r="E11" s="78">
        <v>20818.080000000002</v>
      </c>
      <c r="F11" s="79">
        <v>160</v>
      </c>
      <c r="G11" s="80" t="s">
        <v>102</v>
      </c>
      <c r="H11" s="176"/>
    </row>
    <row r="12" spans="1:8" ht="15" customHeight="1" x14ac:dyDescent="0.3">
      <c r="A12" s="71" t="s">
        <v>103</v>
      </c>
      <c r="B12" s="134">
        <v>0.8</v>
      </c>
      <c r="C12" s="135">
        <v>16129</v>
      </c>
      <c r="D12" s="136">
        <v>3548.38</v>
      </c>
      <c r="E12" s="137">
        <v>19677.38</v>
      </c>
      <c r="F12" s="138">
        <v>128</v>
      </c>
      <c r="G12" s="87" t="s">
        <v>104</v>
      </c>
      <c r="H12" s="176"/>
    </row>
    <row r="13" spans="1:8" ht="15" customHeight="1" x14ac:dyDescent="0.3">
      <c r="A13" s="74" t="s">
        <v>105</v>
      </c>
      <c r="B13" s="139">
        <v>0.7</v>
      </c>
      <c r="C13" s="140">
        <v>14156</v>
      </c>
      <c r="D13" s="141">
        <v>3114.32</v>
      </c>
      <c r="E13" s="142">
        <v>17270.32</v>
      </c>
      <c r="F13" s="143">
        <v>112</v>
      </c>
      <c r="G13" s="80" t="s">
        <v>106</v>
      </c>
      <c r="H13" s="159"/>
    </row>
    <row r="14" spans="1:8" ht="15" customHeight="1" x14ac:dyDescent="0.3">
      <c r="A14" s="91" t="s">
        <v>107</v>
      </c>
      <c r="B14" s="92">
        <v>0.4</v>
      </c>
      <c r="C14" s="93">
        <v>8438</v>
      </c>
      <c r="D14" s="94">
        <v>1856.36</v>
      </c>
      <c r="E14" s="95">
        <v>10294.36</v>
      </c>
      <c r="F14" s="96">
        <v>64</v>
      </c>
      <c r="G14" s="97" t="s">
        <v>108</v>
      </c>
      <c r="H14" s="160"/>
    </row>
    <row r="15" spans="1:8" ht="15" customHeight="1" x14ac:dyDescent="0.3">
      <c r="A15" s="98" t="s">
        <v>109</v>
      </c>
      <c r="B15" s="99">
        <f>SUM(B5:B14)</f>
        <v>8</v>
      </c>
      <c r="C15" s="100">
        <f>SUM(C5:C14)</f>
        <v>178331</v>
      </c>
      <c r="D15" s="100">
        <f>SUM(D5:D14)</f>
        <v>39232.82</v>
      </c>
      <c r="E15" s="100">
        <f t="shared" ref="E15:F15" si="0">SUM(E5:E14)</f>
        <v>217563.82</v>
      </c>
      <c r="F15" s="100">
        <f t="shared" si="0"/>
        <v>1280</v>
      </c>
      <c r="G15" s="101"/>
      <c r="H15" s="161"/>
    </row>
    <row r="16" spans="1:8" ht="15" customHeight="1" x14ac:dyDescent="0.3">
      <c r="A16" s="103"/>
      <c r="B16" s="104"/>
      <c r="C16" s="104"/>
      <c r="D16" s="104"/>
      <c r="E16" s="104"/>
      <c r="F16" s="104"/>
      <c r="G16" s="158"/>
      <c r="H16" s="161"/>
    </row>
    <row r="17" spans="1:8" ht="15" customHeight="1" x14ac:dyDescent="0.3">
      <c r="A17" s="197" t="s">
        <v>110</v>
      </c>
      <c r="B17" s="198"/>
      <c r="C17" s="198"/>
      <c r="D17" s="198"/>
      <c r="E17" s="198"/>
      <c r="F17" s="198"/>
      <c r="G17" s="199"/>
      <c r="H17" s="162"/>
    </row>
    <row r="18" spans="1:8" ht="15" customHeight="1" x14ac:dyDescent="0.3">
      <c r="A18" s="2" t="s">
        <v>111</v>
      </c>
      <c r="B18" s="73" t="s">
        <v>3</v>
      </c>
      <c r="C18" s="73" t="s">
        <v>4</v>
      </c>
      <c r="D18" s="73" t="s">
        <v>5</v>
      </c>
      <c r="E18" s="73" t="s">
        <v>6</v>
      </c>
      <c r="F18" s="73" t="s">
        <v>7</v>
      </c>
      <c r="G18" s="73" t="s">
        <v>8</v>
      </c>
      <c r="H18" s="176"/>
    </row>
    <row r="19" spans="1:8" ht="15" customHeight="1" x14ac:dyDescent="0.3">
      <c r="A19" s="69" t="s">
        <v>112</v>
      </c>
      <c r="B19" s="89">
        <v>609</v>
      </c>
      <c r="C19" s="89">
        <v>733</v>
      </c>
      <c r="D19" s="89">
        <v>717</v>
      </c>
      <c r="E19" s="89">
        <v>632</v>
      </c>
      <c r="F19" s="89">
        <v>455</v>
      </c>
      <c r="G19" s="89">
        <v>324</v>
      </c>
      <c r="H19" s="176"/>
    </row>
    <row r="20" spans="1:8" ht="15" customHeight="1" x14ac:dyDescent="0.3">
      <c r="A20" s="71" t="s">
        <v>113</v>
      </c>
      <c r="B20" s="88">
        <v>304</v>
      </c>
      <c r="C20" s="88">
        <v>366</v>
      </c>
      <c r="D20" s="88">
        <v>358</v>
      </c>
      <c r="E20" s="88">
        <v>316</v>
      </c>
      <c r="F20" s="88">
        <v>228</v>
      </c>
      <c r="G20" s="88">
        <v>162</v>
      </c>
      <c r="H20" s="156"/>
    </row>
    <row r="21" spans="1:8" ht="15" customHeight="1" x14ac:dyDescent="0.3">
      <c r="A21" s="69" t="s">
        <v>114</v>
      </c>
      <c r="B21" s="89">
        <v>59</v>
      </c>
      <c r="C21" s="89">
        <v>71</v>
      </c>
      <c r="D21" s="89">
        <v>70</v>
      </c>
      <c r="E21" s="89">
        <v>61</v>
      </c>
      <c r="F21" s="89">
        <v>44</v>
      </c>
      <c r="G21" s="89">
        <v>31</v>
      </c>
      <c r="H21" s="156"/>
    </row>
    <row r="22" spans="1:8" ht="15" customHeight="1" x14ac:dyDescent="0.3">
      <c r="A22" s="71" t="s">
        <v>115</v>
      </c>
      <c r="B22" s="106">
        <v>59</v>
      </c>
      <c r="C22" s="106">
        <v>71</v>
      </c>
      <c r="D22" s="106">
        <v>70</v>
      </c>
      <c r="E22" s="106">
        <v>61</v>
      </c>
      <c r="F22" s="106">
        <v>44</v>
      </c>
      <c r="G22" s="106">
        <v>31</v>
      </c>
    </row>
    <row r="23" spans="1:8" ht="15" customHeight="1" x14ac:dyDescent="0.3">
      <c r="A23" s="69" t="s">
        <v>116</v>
      </c>
      <c r="B23" s="89">
        <v>700</v>
      </c>
      <c r="C23" s="89">
        <v>843</v>
      </c>
      <c r="D23" s="89">
        <v>825</v>
      </c>
      <c r="E23" s="89">
        <v>727</v>
      </c>
      <c r="F23" s="89">
        <v>523</v>
      </c>
      <c r="G23" s="89">
        <v>373</v>
      </c>
    </row>
    <row r="24" spans="1:8" ht="15" customHeight="1" x14ac:dyDescent="0.3">
      <c r="A24" s="71" t="s">
        <v>117</v>
      </c>
      <c r="B24" s="88">
        <v>700</v>
      </c>
      <c r="C24" s="88">
        <v>843</v>
      </c>
      <c r="D24" s="88">
        <v>825</v>
      </c>
      <c r="E24" s="88">
        <v>727</v>
      </c>
      <c r="F24" s="88">
        <v>523</v>
      </c>
      <c r="G24" s="88">
        <v>373</v>
      </c>
    </row>
    <row r="25" spans="1:8" ht="15" customHeight="1" x14ac:dyDescent="0.3">
      <c r="A25" s="69" t="s">
        <v>118</v>
      </c>
      <c r="B25" s="89">
        <v>518</v>
      </c>
      <c r="C25" s="89">
        <v>623</v>
      </c>
      <c r="D25" s="89">
        <v>609</v>
      </c>
      <c r="E25" s="89">
        <v>537</v>
      </c>
      <c r="F25" s="89">
        <v>387</v>
      </c>
      <c r="G25" s="89">
        <v>275</v>
      </c>
    </row>
    <row r="26" spans="1:8" ht="15" customHeight="1" x14ac:dyDescent="0.3">
      <c r="A26" s="71" t="s">
        <v>119</v>
      </c>
      <c r="B26" s="88">
        <v>1197</v>
      </c>
      <c r="C26" s="88">
        <v>1360</v>
      </c>
      <c r="D26" s="88">
        <v>1360</v>
      </c>
      <c r="E26" s="88">
        <v>1360</v>
      </c>
      <c r="F26" s="88">
        <v>1278</v>
      </c>
      <c r="G26" s="88">
        <v>1129</v>
      </c>
    </row>
    <row r="28" spans="1:8" ht="15" customHeight="1" x14ac:dyDescent="0.3">
      <c r="A28" s="195" t="s">
        <v>120</v>
      </c>
      <c r="B28" s="182"/>
      <c r="C28" s="182"/>
      <c r="D28" s="182"/>
      <c r="E28" s="182"/>
      <c r="F28" s="182"/>
      <c r="G28" s="182"/>
    </row>
    <row r="29" spans="1:8" ht="15" customHeight="1" x14ac:dyDescent="0.3">
      <c r="A29" s="2"/>
      <c r="B29" s="73" t="s">
        <v>3</v>
      </c>
      <c r="C29" s="73" t="s">
        <v>4</v>
      </c>
      <c r="D29" s="73" t="s">
        <v>5</v>
      </c>
      <c r="E29" s="73" t="s">
        <v>6</v>
      </c>
      <c r="F29" s="73" t="s">
        <v>7</v>
      </c>
      <c r="G29" s="73" t="s">
        <v>8</v>
      </c>
      <c r="H29" s="73" t="s">
        <v>9</v>
      </c>
    </row>
    <row r="30" spans="1:8" ht="15" customHeight="1" x14ac:dyDescent="0.3">
      <c r="A30" s="36" t="s">
        <v>121</v>
      </c>
      <c r="B30" s="107">
        <v>0.88</v>
      </c>
      <c r="C30" s="107">
        <v>1</v>
      </c>
      <c r="D30" s="107">
        <v>1</v>
      </c>
      <c r="E30" s="107">
        <v>1</v>
      </c>
      <c r="F30" s="107">
        <v>0.94</v>
      </c>
      <c r="G30" s="107">
        <v>0.83</v>
      </c>
    </row>
    <row r="31" spans="1:8" ht="15" customHeight="1" x14ac:dyDescent="0.3">
      <c r="A31" s="36" t="s">
        <v>122</v>
      </c>
      <c r="B31" s="108">
        <v>217563.82</v>
      </c>
      <c r="C31" s="108">
        <v>217563.82</v>
      </c>
      <c r="D31" s="108">
        <v>217563.82</v>
      </c>
      <c r="E31" s="108">
        <v>217563.82</v>
      </c>
      <c r="F31" s="108">
        <v>217563.82</v>
      </c>
      <c r="G31" s="108">
        <v>217563.82</v>
      </c>
    </row>
    <row r="32" spans="1:8" ht="15" customHeight="1" x14ac:dyDescent="0.3">
      <c r="A32" s="171" t="s">
        <v>123</v>
      </c>
      <c r="B32" s="172">
        <f>B31*B30</f>
        <v>191456.16160000002</v>
      </c>
      <c r="C32" s="172">
        <f>C31*C30</f>
        <v>217563.82</v>
      </c>
      <c r="D32" s="172">
        <v>217563.82</v>
      </c>
      <c r="E32" s="172">
        <v>217563.82</v>
      </c>
      <c r="F32" s="172">
        <v>204509.9908</v>
      </c>
      <c r="G32" s="172">
        <v>180577.9706</v>
      </c>
      <c r="H32" s="172">
        <f>SUM(B32:G32)</f>
        <v>1229235.5830000001</v>
      </c>
    </row>
    <row r="34" spans="1:8" ht="15" customHeight="1" x14ac:dyDescent="0.3">
      <c r="A34" s="144"/>
      <c r="B34" s="144"/>
      <c r="C34" s="144"/>
      <c r="D34" s="144"/>
      <c r="E34" s="144"/>
      <c r="F34" s="144"/>
      <c r="G34" s="144"/>
      <c r="H34" s="180"/>
    </row>
    <row r="35" spans="1:8" ht="15" customHeight="1" x14ac:dyDescent="0.3">
      <c r="A35" s="145"/>
      <c r="B35" s="145"/>
      <c r="C35" s="145"/>
      <c r="D35" s="145"/>
      <c r="E35" s="145"/>
      <c r="F35" s="176"/>
      <c r="G35" s="176"/>
      <c r="H35" s="146"/>
    </row>
    <row r="36" spans="1:8" ht="15" customHeight="1" x14ac:dyDescent="0.3">
      <c r="A36" s="147"/>
      <c r="B36" s="148"/>
      <c r="C36" s="149"/>
      <c r="D36" s="150"/>
      <c r="E36" s="151"/>
      <c r="F36" s="176"/>
      <c r="G36" s="176"/>
      <c r="H36" s="146"/>
    </row>
    <row r="37" spans="1:8" ht="15" customHeight="1" x14ac:dyDescent="0.3">
      <c r="A37" s="152"/>
      <c r="B37" s="153"/>
      <c r="C37" s="154"/>
      <c r="D37" s="150"/>
      <c r="E37" s="155"/>
      <c r="F37" s="176"/>
      <c r="G37" s="176"/>
      <c r="H37" s="146"/>
    </row>
    <row r="38" spans="1:8" ht="15" customHeight="1" x14ac:dyDescent="0.3">
      <c r="A38" s="147"/>
      <c r="B38" s="148"/>
      <c r="C38" s="149"/>
      <c r="D38" s="150"/>
      <c r="E38" s="151"/>
      <c r="F38" s="176"/>
      <c r="G38" s="176"/>
      <c r="H38" s="146"/>
    </row>
    <row r="39" spans="1:8" x14ac:dyDescent="0.3">
      <c r="A39" s="152"/>
      <c r="B39" s="153"/>
      <c r="C39" s="154"/>
      <c r="D39" s="150"/>
      <c r="E39" s="155"/>
      <c r="F39" s="176"/>
      <c r="G39" s="176"/>
      <c r="H39" s="156"/>
    </row>
    <row r="40" spans="1:8" ht="15" customHeight="1" x14ac:dyDescent="0.3">
      <c r="A40" s="147"/>
      <c r="B40" s="148"/>
      <c r="C40" s="149"/>
      <c r="D40" s="150"/>
      <c r="E40" s="151"/>
      <c r="F40" s="176"/>
      <c r="G40" s="176"/>
      <c r="H40" s="156"/>
    </row>
    <row r="41" spans="1:8" ht="15" customHeight="1" x14ac:dyDescent="0.3">
      <c r="A41" s="152"/>
      <c r="B41" s="155"/>
      <c r="C41" s="155"/>
      <c r="D41" s="155"/>
      <c r="E41" s="155"/>
      <c r="F41" s="176"/>
      <c r="G41" s="176"/>
      <c r="H41" s="156"/>
    </row>
    <row r="42" spans="1:8" ht="15" customHeight="1" x14ac:dyDescent="0.3">
      <c r="A42" s="147"/>
      <c r="B42" s="151"/>
      <c r="C42" s="151"/>
      <c r="D42" s="151"/>
      <c r="E42" s="151"/>
      <c r="F42" s="176"/>
      <c r="G42" s="176"/>
      <c r="H42" s="156"/>
    </row>
    <row r="43" spans="1:8" ht="15" customHeight="1" x14ac:dyDescent="0.3">
      <c r="A43" s="152"/>
      <c r="B43" s="155"/>
      <c r="C43" s="155"/>
      <c r="D43" s="155"/>
      <c r="E43" s="155"/>
      <c r="F43" s="176"/>
      <c r="G43" s="176"/>
      <c r="H43" s="156"/>
    </row>
    <row r="44" spans="1:8" ht="15" customHeight="1" x14ac:dyDescent="0.3">
      <c r="A44" s="147"/>
      <c r="B44" s="151"/>
      <c r="C44" s="151"/>
      <c r="D44" s="151"/>
      <c r="E44" s="151"/>
      <c r="F44" s="176"/>
      <c r="G44" s="176"/>
      <c r="H44" s="156"/>
    </row>
    <row r="45" spans="1:8" ht="15" customHeight="1" x14ac:dyDescent="0.3">
      <c r="A45" s="152"/>
      <c r="B45" s="155"/>
      <c r="C45" s="155"/>
      <c r="D45" s="155"/>
      <c r="E45" s="155"/>
      <c r="F45" s="176"/>
      <c r="G45" s="176"/>
      <c r="H45" s="156"/>
    </row>
    <row r="46" spans="1:8" ht="15" customHeight="1" x14ac:dyDescent="0.3">
      <c r="A46" s="176"/>
      <c r="B46" s="176"/>
      <c r="C46" s="176"/>
      <c r="D46" s="176"/>
      <c r="E46" s="176"/>
      <c r="F46" s="176"/>
      <c r="G46" s="176"/>
      <c r="H46" s="156"/>
    </row>
    <row r="47" spans="1:8" ht="15" customHeight="1" x14ac:dyDescent="0.3">
      <c r="A47" s="157"/>
      <c r="B47" s="176"/>
      <c r="C47" s="176"/>
      <c r="D47" s="176"/>
      <c r="E47" s="176"/>
      <c r="F47" s="176"/>
      <c r="G47" s="176"/>
      <c r="H47" s="156"/>
    </row>
    <row r="48" spans="1:8" ht="15" customHeight="1" x14ac:dyDescent="0.3">
      <c r="A48" s="156"/>
      <c r="B48" s="156"/>
      <c r="C48" s="156"/>
      <c r="D48" s="156"/>
      <c r="E48" s="156"/>
      <c r="F48" s="156"/>
      <c r="G48" s="156"/>
      <c r="H48" s="156"/>
    </row>
    <row r="49" spans="1:8" ht="15" customHeight="1" x14ac:dyDescent="0.3">
      <c r="A49" s="156"/>
      <c r="B49" s="156"/>
      <c r="C49" s="156"/>
      <c r="D49" s="156"/>
      <c r="E49" s="156"/>
      <c r="F49" s="156"/>
      <c r="G49" s="156"/>
      <c r="H49" s="156"/>
    </row>
    <row r="50" spans="1:8" ht="15" customHeight="1" x14ac:dyDescent="0.3"/>
    <row r="51" spans="1:8" ht="15" customHeight="1" x14ac:dyDescent="0.3"/>
    <row r="53" spans="1:8" ht="15" customHeight="1" x14ac:dyDescent="0.3"/>
    <row r="54" spans="1:8" ht="15" customHeight="1" x14ac:dyDescent="0.3">
      <c r="A54" s="196"/>
      <c r="B54" s="182"/>
      <c r="C54" s="182"/>
      <c r="D54" s="182"/>
      <c r="E54" s="182"/>
      <c r="F54" s="182"/>
      <c r="G54" s="182"/>
    </row>
    <row r="55" spans="1:8" ht="15" customHeight="1" x14ac:dyDescent="0.3">
      <c r="A55" s="196"/>
      <c r="B55" s="182"/>
      <c r="C55" s="182"/>
      <c r="D55" s="182"/>
      <c r="E55" s="182"/>
      <c r="F55" s="182"/>
      <c r="G55" s="182"/>
    </row>
    <row r="56" spans="1:8" ht="15" customHeight="1" x14ac:dyDescent="0.3">
      <c r="A56" s="196"/>
      <c r="B56" s="182"/>
      <c r="C56" s="182"/>
      <c r="D56" s="182"/>
      <c r="E56" s="182"/>
      <c r="F56" s="182"/>
      <c r="G56" s="182"/>
    </row>
    <row r="57" spans="1:8" ht="15" customHeight="1" x14ac:dyDescent="0.3">
      <c r="A57" s="196"/>
      <c r="B57" s="182"/>
      <c r="C57" s="182"/>
      <c r="D57" s="182"/>
      <c r="E57" s="182"/>
      <c r="F57" s="182"/>
      <c r="G57" s="182"/>
    </row>
    <row r="58" spans="1:8" ht="15" customHeight="1" x14ac:dyDescent="0.3">
      <c r="A58" s="196"/>
      <c r="B58" s="182"/>
      <c r="C58" s="182"/>
      <c r="D58" s="182"/>
      <c r="E58" s="182"/>
      <c r="F58" s="182"/>
      <c r="G58" s="182"/>
    </row>
    <row r="59" spans="1:8" ht="15" customHeight="1" x14ac:dyDescent="0.3">
      <c r="A59" s="196"/>
      <c r="B59" s="182"/>
      <c r="C59" s="182"/>
      <c r="D59" s="182"/>
      <c r="E59" s="182"/>
      <c r="F59" s="182"/>
      <c r="G59" s="182"/>
    </row>
  </sheetData>
  <mergeCells count="10">
    <mergeCell ref="A59:G59"/>
    <mergeCell ref="A1:H1"/>
    <mergeCell ref="A57:G57"/>
    <mergeCell ref="A28:G28"/>
    <mergeCell ref="A58:G58"/>
    <mergeCell ref="A17:G17"/>
    <mergeCell ref="A56:G56"/>
    <mergeCell ref="A2:H2"/>
    <mergeCell ref="A55:G55"/>
    <mergeCell ref="A54:G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H19"/>
  <sheetViews>
    <sheetView zoomScaleNormal="100" workbookViewId="0">
      <selection activeCell="C6" sqref="C6"/>
    </sheetView>
  </sheetViews>
  <sheetFormatPr defaultColWidth="8.6640625" defaultRowHeight="14.4" x14ac:dyDescent="0.3"/>
  <cols>
    <col min="1" max="1" width="40" style="179" customWidth="1"/>
    <col min="2" max="8" width="15" style="179" customWidth="1"/>
  </cols>
  <sheetData>
    <row r="1" spans="1:8" ht="15.75" customHeight="1" x14ac:dyDescent="0.3">
      <c r="A1" s="109" t="s">
        <v>124</v>
      </c>
    </row>
    <row r="2" spans="1:8" ht="15" customHeight="1" x14ac:dyDescent="0.3">
      <c r="A2" s="110" t="s">
        <v>125</v>
      </c>
    </row>
    <row r="4" spans="1:8" ht="15" customHeight="1" x14ac:dyDescent="0.3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" customHeight="1" x14ac:dyDescent="0.3">
      <c r="A5" s="103" t="s">
        <v>126</v>
      </c>
      <c r="B5" s="104">
        <v>39000</v>
      </c>
      <c r="C5" s="104">
        <v>47000</v>
      </c>
      <c r="D5" s="104">
        <v>43000</v>
      </c>
      <c r="E5" s="104">
        <v>31000</v>
      </c>
      <c r="F5" s="104">
        <v>24000</v>
      </c>
      <c r="G5" s="104">
        <v>15000</v>
      </c>
      <c r="H5" s="104">
        <v>199000</v>
      </c>
    </row>
    <row r="6" spans="1:8" ht="15" customHeight="1" x14ac:dyDescent="0.3">
      <c r="A6" s="103" t="s">
        <v>127</v>
      </c>
      <c r="B6" s="104">
        <v>30000</v>
      </c>
      <c r="C6" s="104">
        <v>35000</v>
      </c>
      <c r="D6" s="104">
        <v>33000</v>
      </c>
      <c r="E6" s="104">
        <v>22000</v>
      </c>
      <c r="F6" s="104">
        <v>16000</v>
      </c>
      <c r="G6" s="104">
        <v>11000</v>
      </c>
      <c r="H6" s="104">
        <v>147000</v>
      </c>
    </row>
    <row r="7" spans="1:8" ht="15" customHeight="1" x14ac:dyDescent="0.3">
      <c r="A7" s="103" t="s">
        <v>128</v>
      </c>
      <c r="B7" s="104">
        <v>10000</v>
      </c>
      <c r="C7" s="104">
        <v>13000</v>
      </c>
      <c r="D7" s="104">
        <v>12000</v>
      </c>
      <c r="E7" s="104">
        <v>9000</v>
      </c>
      <c r="F7" s="104">
        <v>7000</v>
      </c>
      <c r="G7" s="104">
        <v>4000</v>
      </c>
      <c r="H7" s="104">
        <v>55000</v>
      </c>
    </row>
    <row r="8" spans="1:8" ht="15" customHeight="1" x14ac:dyDescent="0.3">
      <c r="A8" s="111" t="s">
        <v>129</v>
      </c>
      <c r="B8" s="105">
        <f>SUM(B5:B7)</f>
        <v>79000</v>
      </c>
      <c r="C8" s="105">
        <f t="shared" ref="C8:H8" si="0">SUM(C5:C7)</f>
        <v>95000</v>
      </c>
      <c r="D8" s="105">
        <f t="shared" si="0"/>
        <v>88000</v>
      </c>
      <c r="E8" s="105">
        <f t="shared" si="0"/>
        <v>62000</v>
      </c>
      <c r="F8" s="105">
        <f t="shared" si="0"/>
        <v>47000</v>
      </c>
      <c r="G8" s="105">
        <f t="shared" si="0"/>
        <v>30000</v>
      </c>
      <c r="H8" s="105">
        <f t="shared" si="0"/>
        <v>401000</v>
      </c>
    </row>
    <row r="10" spans="1:8" ht="15" customHeight="1" x14ac:dyDescent="0.3">
      <c r="A10" s="112" t="s">
        <v>130</v>
      </c>
      <c r="B10" s="113">
        <v>400</v>
      </c>
      <c r="C10" s="113">
        <v>365</v>
      </c>
      <c r="D10" s="113">
        <v>345</v>
      </c>
      <c r="E10" s="113">
        <v>260</v>
      </c>
      <c r="F10" s="113">
        <v>190</v>
      </c>
      <c r="G10" s="113">
        <v>125</v>
      </c>
      <c r="H10" s="113">
        <v>1685</v>
      </c>
    </row>
    <row r="11" spans="1:8" ht="15" customHeight="1" x14ac:dyDescent="0.3">
      <c r="A11" s="111" t="s">
        <v>131</v>
      </c>
      <c r="B11" s="114">
        <v>197.5</v>
      </c>
      <c r="C11" s="114">
        <v>260.27397260274</v>
      </c>
      <c r="D11" s="114">
        <v>255.07246376811599</v>
      </c>
      <c r="E11" s="114">
        <v>238.461538461538</v>
      </c>
      <c r="F11" s="114">
        <v>247.36842105263199</v>
      </c>
      <c r="G11" s="114">
        <v>240</v>
      </c>
      <c r="H11" s="114">
        <v>237.98219584569699</v>
      </c>
    </row>
    <row r="13" spans="1:8" ht="15" customHeight="1" x14ac:dyDescent="0.3">
      <c r="A13" s="103" t="s">
        <v>132</v>
      </c>
      <c r="B13" s="104">
        <v>790000</v>
      </c>
      <c r="C13" s="104">
        <v>950000</v>
      </c>
      <c r="D13" s="104">
        <v>930000</v>
      </c>
      <c r="E13" s="104">
        <v>820000</v>
      </c>
      <c r="F13" s="104">
        <v>590000</v>
      </c>
      <c r="G13" s="104">
        <v>420000</v>
      </c>
      <c r="H13" s="104">
        <v>4500000</v>
      </c>
    </row>
    <row r="14" spans="1:8" ht="15" customHeight="1" x14ac:dyDescent="0.3">
      <c r="A14" s="103" t="s">
        <v>133</v>
      </c>
      <c r="B14" s="115">
        <v>0.1</v>
      </c>
      <c r="C14" s="115">
        <v>0.1</v>
      </c>
      <c r="D14" s="115">
        <v>9.4623655913978505E-2</v>
      </c>
      <c r="E14" s="115">
        <v>7.5609756097561001E-2</v>
      </c>
      <c r="F14" s="115">
        <v>7.9661016949152494E-2</v>
      </c>
      <c r="G14" s="115">
        <v>7.1428571428571397E-2</v>
      </c>
      <c r="H14" s="115">
        <v>8.9111111111111099E-2</v>
      </c>
    </row>
    <row r="16" spans="1:8" ht="15" customHeight="1" x14ac:dyDescent="0.3">
      <c r="A16" s="116" t="s">
        <v>134</v>
      </c>
      <c r="B16" s="90"/>
      <c r="C16" s="90"/>
      <c r="D16" s="90"/>
      <c r="E16" s="90"/>
      <c r="F16" s="90"/>
      <c r="G16" s="90"/>
      <c r="H16" s="90"/>
    </row>
    <row r="17" spans="1:8" ht="15" customHeight="1" x14ac:dyDescent="0.3">
      <c r="A17" s="103" t="s">
        <v>135</v>
      </c>
      <c r="B17" s="104">
        <v>320</v>
      </c>
      <c r="C17" s="104">
        <v>292</v>
      </c>
      <c r="D17" s="104">
        <v>276</v>
      </c>
      <c r="E17" s="104">
        <v>208</v>
      </c>
      <c r="F17" s="104">
        <v>152</v>
      </c>
      <c r="G17" s="104">
        <v>100</v>
      </c>
      <c r="H17" s="104">
        <v>1348</v>
      </c>
    </row>
    <row r="18" spans="1:8" ht="15" customHeight="1" x14ac:dyDescent="0.3">
      <c r="A18" s="103" t="s">
        <v>136</v>
      </c>
      <c r="B18" s="104">
        <v>80</v>
      </c>
      <c r="C18" s="104">
        <v>73</v>
      </c>
      <c r="D18" s="104">
        <v>69</v>
      </c>
      <c r="E18" s="104">
        <v>52</v>
      </c>
      <c r="F18" s="104">
        <v>38</v>
      </c>
      <c r="G18" s="104">
        <v>25</v>
      </c>
      <c r="H18" s="104">
        <v>337</v>
      </c>
    </row>
    <row r="19" spans="1:8" ht="15" customHeight="1" x14ac:dyDescent="0.3">
      <c r="A19" s="112" t="s">
        <v>137</v>
      </c>
      <c r="B19" s="113">
        <f>B17+B18</f>
        <v>400</v>
      </c>
      <c r="C19" s="113">
        <f>C17+C18</f>
        <v>365</v>
      </c>
      <c r="D19" s="113">
        <f t="shared" ref="D19:G19" si="1">D17+D18</f>
        <v>345</v>
      </c>
      <c r="E19" s="113">
        <f t="shared" si="1"/>
        <v>260</v>
      </c>
      <c r="F19" s="113">
        <f t="shared" si="1"/>
        <v>190</v>
      </c>
      <c r="G19" s="113">
        <f t="shared" si="1"/>
        <v>125</v>
      </c>
      <c r="H19" s="113">
        <f>H17+H18</f>
        <v>1685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980B9"/>
  </sheetPr>
  <dimension ref="A1:D18"/>
  <sheetViews>
    <sheetView tabSelected="1" zoomScaleNormal="100" workbookViewId="0">
      <selection activeCell="B7" sqref="B7"/>
    </sheetView>
  </sheetViews>
  <sheetFormatPr defaultColWidth="8.6640625" defaultRowHeight="14.4" x14ac:dyDescent="0.3"/>
  <cols>
    <col min="1" max="1" width="38" style="179" customWidth="1"/>
    <col min="2" max="2" width="18" style="179" customWidth="1"/>
    <col min="3" max="3" width="20" style="179" customWidth="1"/>
    <col min="4" max="4" width="18" style="179" customWidth="1"/>
  </cols>
  <sheetData>
    <row r="1" spans="1:4" ht="15.75" customHeight="1" x14ac:dyDescent="0.3">
      <c r="A1" s="109" t="s">
        <v>138</v>
      </c>
    </row>
    <row r="2" spans="1:4" ht="15" customHeight="1" x14ac:dyDescent="0.3">
      <c r="A2" s="110" t="s">
        <v>139</v>
      </c>
    </row>
    <row r="4" spans="1:4" ht="15" customHeight="1" x14ac:dyDescent="0.3">
      <c r="A4" s="1" t="s">
        <v>111</v>
      </c>
      <c r="B4" s="1" t="s">
        <v>140</v>
      </c>
      <c r="C4" s="1" t="s">
        <v>141</v>
      </c>
      <c r="D4" s="1" t="s">
        <v>9</v>
      </c>
    </row>
    <row r="5" spans="1:4" ht="15" customHeight="1" x14ac:dyDescent="0.3">
      <c r="A5" s="103" t="s">
        <v>142</v>
      </c>
      <c r="B5" s="104">
        <v>2925000</v>
      </c>
      <c r="C5" s="104">
        <v>1575000</v>
      </c>
      <c r="D5" s="104">
        <v>4500000</v>
      </c>
    </row>
    <row r="6" spans="1:4" ht="15" customHeight="1" x14ac:dyDescent="0.3">
      <c r="A6" s="103" t="s">
        <v>143</v>
      </c>
      <c r="B6" s="104">
        <v>1608750</v>
      </c>
      <c r="C6" s="104">
        <v>976500</v>
      </c>
      <c r="D6" s="104">
        <v>2585250</v>
      </c>
    </row>
    <row r="7" spans="1:4" ht="15" customHeight="1" x14ac:dyDescent="0.3">
      <c r="A7" s="103" t="s">
        <v>144</v>
      </c>
      <c r="B7" s="104">
        <v>401000</v>
      </c>
      <c r="C7" s="117">
        <v>0</v>
      </c>
      <c r="D7" s="104">
        <v>401000</v>
      </c>
    </row>
    <row r="8" spans="1:4" ht="15" customHeight="1" x14ac:dyDescent="0.3">
      <c r="A8" s="103" t="s">
        <v>145</v>
      </c>
      <c r="B8" s="104">
        <v>1348</v>
      </c>
      <c r="C8" s="104">
        <v>337</v>
      </c>
      <c r="D8" s="104">
        <v>1685</v>
      </c>
    </row>
    <row r="9" spans="1:4" ht="15" customHeight="1" x14ac:dyDescent="0.3">
      <c r="A9" s="103" t="s">
        <v>146</v>
      </c>
      <c r="B9" s="104">
        <v>2750</v>
      </c>
      <c r="C9" s="104">
        <v>720</v>
      </c>
      <c r="D9" s="104">
        <v>3470</v>
      </c>
    </row>
    <row r="10" spans="1:4" ht="15" customHeight="1" x14ac:dyDescent="0.3">
      <c r="A10" s="116" t="s">
        <v>147</v>
      </c>
      <c r="B10" s="90"/>
      <c r="C10" s="90"/>
      <c r="D10" s="90"/>
    </row>
    <row r="11" spans="1:4" ht="15" customHeight="1" x14ac:dyDescent="0.3">
      <c r="A11" s="103" t="s">
        <v>148</v>
      </c>
      <c r="B11" s="118">
        <v>1063.6363636363601</v>
      </c>
      <c r="C11" s="118">
        <v>2187.5</v>
      </c>
      <c r="D11" s="118">
        <v>1296.82997118156</v>
      </c>
    </row>
    <row r="12" spans="1:4" ht="15" customHeight="1" x14ac:dyDescent="0.3">
      <c r="A12" s="112" t="s">
        <v>149</v>
      </c>
      <c r="B12" s="113">
        <v>1316250</v>
      </c>
      <c r="C12" s="113">
        <v>598500</v>
      </c>
      <c r="D12" s="113">
        <v>1914750</v>
      </c>
    </row>
    <row r="13" spans="1:4" ht="15" customHeight="1" x14ac:dyDescent="0.3">
      <c r="A13" s="103" t="s">
        <v>19</v>
      </c>
      <c r="B13" s="115">
        <v>0.45</v>
      </c>
      <c r="C13" s="115">
        <v>0.38</v>
      </c>
      <c r="D13" s="115">
        <v>0.42549999999999999</v>
      </c>
    </row>
    <row r="14" spans="1:4" ht="15" customHeight="1" x14ac:dyDescent="0.3">
      <c r="A14" s="103" t="s">
        <v>150</v>
      </c>
      <c r="B14" s="118">
        <v>297.47774480712201</v>
      </c>
      <c r="C14" s="119" t="s">
        <v>151</v>
      </c>
      <c r="D14" s="118">
        <v>237.98219584569699</v>
      </c>
    </row>
    <row r="15" spans="1:4" ht="15" customHeight="1" x14ac:dyDescent="0.3">
      <c r="A15" s="103" t="s">
        <v>152</v>
      </c>
      <c r="B15" s="118">
        <v>2169.8813056379799</v>
      </c>
      <c r="C15" s="118">
        <v>4673.59050445104</v>
      </c>
      <c r="D15" s="118">
        <v>2670.6231454005901</v>
      </c>
    </row>
    <row r="16" spans="1:4" ht="15" customHeight="1" x14ac:dyDescent="0.3">
      <c r="A16" s="103" t="s">
        <v>153</v>
      </c>
      <c r="B16" s="118">
        <v>976.446587537092</v>
      </c>
      <c r="C16" s="118">
        <v>1775.9643916913899</v>
      </c>
      <c r="D16" s="118">
        <v>1136.3501483679499</v>
      </c>
    </row>
    <row r="17" spans="1:4" ht="15" customHeight="1" x14ac:dyDescent="0.3">
      <c r="A17" s="103" t="s">
        <v>154</v>
      </c>
      <c r="B17" s="120">
        <v>7.2942643391521198</v>
      </c>
      <c r="C17" s="102"/>
      <c r="D17" s="120">
        <v>11.2219451371571</v>
      </c>
    </row>
    <row r="18" spans="1:4" ht="15" customHeight="1" x14ac:dyDescent="0.3">
      <c r="A18" s="103" t="s">
        <v>155</v>
      </c>
      <c r="B18" s="120">
        <v>1.82792022792023</v>
      </c>
      <c r="C18" s="102"/>
      <c r="D18" s="120">
        <v>1.25656090873482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F17"/>
  <sheetViews>
    <sheetView zoomScaleNormal="100" workbookViewId="0">
      <selection activeCell="D15" sqref="D15"/>
    </sheetView>
  </sheetViews>
  <sheetFormatPr defaultColWidth="8.6640625" defaultRowHeight="14.4" x14ac:dyDescent="0.3"/>
  <cols>
    <col min="1" max="1" width="28" style="179" customWidth="1"/>
    <col min="2" max="6" width="19" style="179" customWidth="1"/>
  </cols>
  <sheetData>
    <row r="1" spans="1:6" ht="15.75" customHeight="1" x14ac:dyDescent="0.3">
      <c r="A1" s="109" t="s">
        <v>156</v>
      </c>
    </row>
    <row r="2" spans="1:6" ht="15" customHeight="1" x14ac:dyDescent="0.3">
      <c r="A2" s="110" t="s">
        <v>157</v>
      </c>
    </row>
    <row r="4" spans="1:6" ht="15" customHeight="1" x14ac:dyDescent="0.3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9</v>
      </c>
    </row>
    <row r="5" spans="1:6" ht="15" customHeight="1" x14ac:dyDescent="0.3">
      <c r="A5" s="103" t="s">
        <v>162</v>
      </c>
      <c r="B5" s="104">
        <v>808</v>
      </c>
      <c r="C5" s="104">
        <v>540</v>
      </c>
      <c r="D5" s="121">
        <v>1348</v>
      </c>
      <c r="E5" s="104">
        <v>337</v>
      </c>
      <c r="F5" s="121">
        <v>1685</v>
      </c>
    </row>
    <row r="6" spans="1:6" ht="15" customHeight="1" x14ac:dyDescent="0.3">
      <c r="A6" s="103" t="s">
        <v>163</v>
      </c>
      <c r="B6" s="104">
        <v>1755000</v>
      </c>
      <c r="C6" s="104">
        <v>1170000</v>
      </c>
      <c r="D6" s="121">
        <v>2925000</v>
      </c>
      <c r="E6" s="104">
        <v>1575000</v>
      </c>
      <c r="F6" s="121">
        <v>4500000</v>
      </c>
    </row>
    <row r="7" spans="1:6" ht="15" customHeight="1" x14ac:dyDescent="0.3">
      <c r="A7" s="103" t="s">
        <v>164</v>
      </c>
      <c r="B7" s="104">
        <v>965250</v>
      </c>
      <c r="C7" s="104">
        <v>643500</v>
      </c>
      <c r="D7" s="121">
        <v>1608750</v>
      </c>
      <c r="E7" s="104">
        <v>976500</v>
      </c>
      <c r="F7" s="121">
        <v>2585250</v>
      </c>
    </row>
    <row r="8" spans="1:6" ht="15" customHeight="1" x14ac:dyDescent="0.3">
      <c r="A8" s="103" t="s">
        <v>165</v>
      </c>
      <c r="B8" s="104">
        <v>1650</v>
      </c>
      <c r="C8" s="104">
        <v>1100</v>
      </c>
      <c r="D8" s="121">
        <v>2750</v>
      </c>
      <c r="E8" s="104">
        <v>720</v>
      </c>
      <c r="F8" s="121">
        <v>3470</v>
      </c>
    </row>
    <row r="9" spans="1:6" ht="15" customHeight="1" x14ac:dyDescent="0.3">
      <c r="A9" s="103" t="s">
        <v>166</v>
      </c>
      <c r="B9" s="104">
        <v>240600</v>
      </c>
      <c r="C9" s="104">
        <v>160400</v>
      </c>
      <c r="D9" s="121">
        <v>401000</v>
      </c>
      <c r="E9" s="104">
        <v>0</v>
      </c>
      <c r="F9" s="121">
        <v>401000</v>
      </c>
    </row>
    <row r="10" spans="1:6" ht="15" customHeight="1" x14ac:dyDescent="0.3">
      <c r="A10" s="116" t="s">
        <v>147</v>
      </c>
      <c r="B10" s="90"/>
      <c r="C10" s="90"/>
      <c r="D10" s="122"/>
      <c r="E10" s="90"/>
      <c r="F10" s="122"/>
    </row>
    <row r="11" spans="1:6" ht="15" customHeight="1" x14ac:dyDescent="0.3">
      <c r="A11" s="112" t="s">
        <v>149</v>
      </c>
      <c r="B11" s="113">
        <v>789750</v>
      </c>
      <c r="C11" s="113">
        <v>526500</v>
      </c>
      <c r="D11" s="123">
        <v>1316250</v>
      </c>
      <c r="E11" s="113">
        <v>598500</v>
      </c>
      <c r="F11" s="123">
        <v>1914750</v>
      </c>
    </row>
    <row r="12" spans="1:6" ht="15" customHeight="1" x14ac:dyDescent="0.3">
      <c r="A12" s="103" t="s">
        <v>19</v>
      </c>
      <c r="B12" s="115">
        <v>0.45</v>
      </c>
      <c r="C12" s="115">
        <v>0.45</v>
      </c>
      <c r="D12" s="124">
        <v>0.45</v>
      </c>
      <c r="E12" s="115">
        <v>0.38</v>
      </c>
      <c r="F12" s="124">
        <v>0.42549999999999999</v>
      </c>
    </row>
    <row r="13" spans="1:6" ht="15" customHeight="1" x14ac:dyDescent="0.3">
      <c r="A13" s="103" t="s">
        <v>148</v>
      </c>
      <c r="B13" s="118">
        <v>1063.6363636363601</v>
      </c>
      <c r="C13" s="118">
        <v>1063.6363636363601</v>
      </c>
      <c r="D13" s="125">
        <v>1063.6363636363601</v>
      </c>
      <c r="E13" s="118">
        <v>2187.5</v>
      </c>
      <c r="F13" s="125">
        <v>1296.82997118156</v>
      </c>
    </row>
    <row r="14" spans="1:6" ht="15" customHeight="1" x14ac:dyDescent="0.3">
      <c r="A14" s="103" t="s">
        <v>167</v>
      </c>
      <c r="B14" s="118">
        <v>297.77227722772301</v>
      </c>
      <c r="C14" s="118">
        <v>297.03703703703701</v>
      </c>
      <c r="D14" s="125">
        <v>297.47774480712201</v>
      </c>
      <c r="E14" s="118">
        <v>0</v>
      </c>
      <c r="F14" s="125">
        <v>237.98219584569699</v>
      </c>
    </row>
    <row r="15" spans="1:6" ht="15" customHeight="1" x14ac:dyDescent="0.3">
      <c r="A15" s="103" t="s">
        <v>153</v>
      </c>
      <c r="B15" s="118">
        <v>977.413366336634</v>
      </c>
      <c r="C15" s="118">
        <v>975</v>
      </c>
      <c r="D15" s="125">
        <v>976.446587537092</v>
      </c>
      <c r="E15" s="118">
        <v>1775.9643916913899</v>
      </c>
      <c r="F15" s="125">
        <v>1136.3501483679499</v>
      </c>
    </row>
    <row r="16" spans="1:6" ht="15" customHeight="1" x14ac:dyDescent="0.3">
      <c r="A16" s="103" t="s">
        <v>168</v>
      </c>
      <c r="B16" s="120">
        <v>1.82792022792023</v>
      </c>
      <c r="C16" s="120">
        <v>1.82792022792023</v>
      </c>
      <c r="D16" s="126">
        <v>1.82792022792023</v>
      </c>
      <c r="E16" s="120">
        <v>0</v>
      </c>
      <c r="F16" s="126">
        <v>1.25656090873482</v>
      </c>
    </row>
    <row r="17" spans="1:6" ht="15" customHeight="1" x14ac:dyDescent="0.3">
      <c r="A17" s="103" t="s">
        <v>154</v>
      </c>
      <c r="B17" s="120">
        <v>7.2942643391521198</v>
      </c>
      <c r="C17" s="120">
        <v>7.2942643391521198</v>
      </c>
      <c r="D17" s="126">
        <v>7.2942643391521198</v>
      </c>
      <c r="E17" s="120" t="s">
        <v>151</v>
      </c>
      <c r="F17" s="126">
        <v>11.2219451371571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H16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8" style="179" customWidth="1"/>
    <col min="2" max="2" width="10" style="179" customWidth="1"/>
    <col min="3" max="8" width="14" style="179" customWidth="1"/>
  </cols>
  <sheetData>
    <row r="1" spans="1:8" ht="15.75" customHeight="1" x14ac:dyDescent="0.3">
      <c r="A1" s="109" t="s">
        <v>169</v>
      </c>
    </row>
    <row r="2" spans="1:8" ht="15" customHeight="1" x14ac:dyDescent="0.3">
      <c r="A2" s="110"/>
    </row>
    <row r="4" spans="1:8" ht="15" customHeight="1" x14ac:dyDescent="0.3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176</v>
      </c>
      <c r="H4" s="1" t="s">
        <v>177</v>
      </c>
    </row>
    <row r="5" spans="1:8" ht="15" customHeight="1" x14ac:dyDescent="0.3">
      <c r="A5" s="103" t="s">
        <v>178</v>
      </c>
      <c r="B5" s="104">
        <v>400</v>
      </c>
      <c r="C5" s="127">
        <v>0.34799999999999998</v>
      </c>
      <c r="D5" s="127">
        <v>0.55700000000000005</v>
      </c>
      <c r="E5" s="128">
        <v>0.66600000000000004</v>
      </c>
      <c r="F5" s="128">
        <v>0.752</v>
      </c>
      <c r="G5" s="128">
        <v>0.84199999999999997</v>
      </c>
      <c r="H5" s="128">
        <v>0.90200000000000002</v>
      </c>
    </row>
    <row r="6" spans="1:8" ht="15" customHeight="1" x14ac:dyDescent="0.3">
      <c r="A6" s="103" t="s">
        <v>179</v>
      </c>
      <c r="B6" s="104">
        <v>365</v>
      </c>
      <c r="C6" s="127">
        <v>0.36699999999999999</v>
      </c>
      <c r="D6" s="129">
        <v>0.54900000000000004</v>
      </c>
      <c r="E6" s="128">
        <v>0.68200000000000005</v>
      </c>
      <c r="F6" s="128">
        <v>0.76600000000000001</v>
      </c>
      <c r="G6" s="128">
        <v>0.84799999999999998</v>
      </c>
      <c r="H6" s="128">
        <v>0.90900000000000003</v>
      </c>
    </row>
    <row r="7" spans="1:8" ht="15" customHeight="1" x14ac:dyDescent="0.3">
      <c r="A7" s="103" t="s">
        <v>180</v>
      </c>
      <c r="B7" s="104">
        <v>345</v>
      </c>
      <c r="C7" s="127">
        <v>0.38400000000000001</v>
      </c>
      <c r="D7" s="129">
        <v>0.56200000000000006</v>
      </c>
      <c r="E7" s="128">
        <v>0.67100000000000004</v>
      </c>
      <c r="F7" s="128">
        <v>0.77900000000000003</v>
      </c>
      <c r="G7" s="128">
        <v>0.85199999999999998</v>
      </c>
      <c r="H7" s="128">
        <v>0.91600000000000004</v>
      </c>
    </row>
    <row r="8" spans="1:8" ht="15" customHeight="1" x14ac:dyDescent="0.3">
      <c r="A8" s="103" t="s">
        <v>181</v>
      </c>
      <c r="B8" s="104">
        <v>260</v>
      </c>
      <c r="C8" s="127">
        <v>0.40200000000000002</v>
      </c>
      <c r="D8" s="129">
        <v>0.57099999999999995</v>
      </c>
      <c r="E8" s="128">
        <v>0.68799999999999994</v>
      </c>
      <c r="F8" s="128">
        <v>0.79100000000000004</v>
      </c>
      <c r="G8" s="128">
        <v>0.85799999999999998</v>
      </c>
      <c r="H8" s="128">
        <v>0.92200000000000004</v>
      </c>
    </row>
    <row r="9" spans="1:8" ht="15" customHeight="1" x14ac:dyDescent="0.3">
      <c r="A9" s="103" t="s">
        <v>182</v>
      </c>
      <c r="B9" s="104">
        <v>190</v>
      </c>
      <c r="C9" s="129">
        <v>0.41899999999999998</v>
      </c>
      <c r="D9" s="129">
        <v>0.58199999999999996</v>
      </c>
      <c r="E9" s="128">
        <v>0.69499999999999995</v>
      </c>
      <c r="F9" s="128">
        <v>0.80200000000000005</v>
      </c>
      <c r="G9" s="130" t="s">
        <v>183</v>
      </c>
      <c r="H9" s="130" t="s">
        <v>183</v>
      </c>
    </row>
    <row r="10" spans="1:8" ht="15" customHeight="1" x14ac:dyDescent="0.3">
      <c r="A10" s="103" t="s">
        <v>184</v>
      </c>
      <c r="B10" s="104">
        <v>125</v>
      </c>
      <c r="C10" s="129">
        <v>0.437</v>
      </c>
      <c r="D10" s="130" t="s">
        <v>183</v>
      </c>
      <c r="E10" s="130" t="s">
        <v>183</v>
      </c>
      <c r="F10" s="130" t="s">
        <v>183</v>
      </c>
      <c r="G10" s="130" t="s">
        <v>183</v>
      </c>
      <c r="H10" s="130" t="s">
        <v>183</v>
      </c>
    </row>
    <row r="11" spans="1:8" ht="15" customHeight="1" x14ac:dyDescent="0.3">
      <c r="A11" s="111" t="s">
        <v>185</v>
      </c>
      <c r="B11" s="105">
        <v>280.83333333333297</v>
      </c>
      <c r="C11" s="131">
        <v>0.39279999999999998</v>
      </c>
      <c r="D11" s="131">
        <v>0.56420000000000003</v>
      </c>
      <c r="E11" s="131">
        <v>0.6804</v>
      </c>
      <c r="F11" s="131">
        <v>0.77800000000000002</v>
      </c>
      <c r="G11" s="131">
        <v>0.85</v>
      </c>
      <c r="H11" s="131">
        <v>0.9123</v>
      </c>
    </row>
    <row r="13" spans="1:8" ht="15" customHeight="1" x14ac:dyDescent="0.3">
      <c r="A13" s="132" t="s">
        <v>186</v>
      </c>
    </row>
    <row r="14" spans="1:8" ht="15" customHeight="1" x14ac:dyDescent="0.3">
      <c r="A14" s="133" t="s">
        <v>187</v>
      </c>
    </row>
    <row r="15" spans="1:8" ht="15" customHeight="1" x14ac:dyDescent="0.3">
      <c r="A15" s="133" t="s">
        <v>188</v>
      </c>
    </row>
    <row r="16" spans="1:8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86C1"/>
  </sheetPr>
  <dimension ref="A1:H11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8" style="179" customWidth="1"/>
    <col min="2" max="2" width="10" style="179" customWidth="1"/>
    <col min="3" max="8" width="14" style="179" customWidth="1"/>
  </cols>
  <sheetData>
    <row r="1" spans="1:8" ht="15.75" customHeight="1" x14ac:dyDescent="0.3">
      <c r="A1" s="109" t="s">
        <v>189</v>
      </c>
    </row>
    <row r="2" spans="1:8" ht="15" customHeight="1" x14ac:dyDescent="0.3">
      <c r="A2" s="110" t="s">
        <v>190</v>
      </c>
    </row>
    <row r="4" spans="1:8" ht="15" customHeight="1" x14ac:dyDescent="0.3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176</v>
      </c>
      <c r="H4" s="1" t="s">
        <v>177</v>
      </c>
    </row>
    <row r="5" spans="1:8" ht="15" customHeight="1" x14ac:dyDescent="0.3">
      <c r="A5" s="103" t="s">
        <v>178</v>
      </c>
      <c r="B5" s="104">
        <v>400</v>
      </c>
      <c r="C5" s="115">
        <v>0.65200000000000002</v>
      </c>
      <c r="D5" s="115">
        <v>0.443</v>
      </c>
      <c r="E5" s="115">
        <v>0.33400000000000002</v>
      </c>
      <c r="F5" s="115">
        <v>0.248</v>
      </c>
      <c r="G5" s="115">
        <v>0.158</v>
      </c>
      <c r="H5" s="115">
        <v>9.8000000000000004E-2</v>
      </c>
    </row>
    <row r="6" spans="1:8" ht="15" customHeight="1" x14ac:dyDescent="0.3">
      <c r="A6" s="103" t="s">
        <v>179</v>
      </c>
      <c r="B6" s="104">
        <v>365</v>
      </c>
      <c r="C6" s="115">
        <v>0.63300000000000001</v>
      </c>
      <c r="D6" s="115">
        <v>0.45100000000000001</v>
      </c>
      <c r="E6" s="115">
        <v>0.318</v>
      </c>
      <c r="F6" s="115">
        <v>0.23400000000000001</v>
      </c>
      <c r="G6" s="115">
        <v>0.152</v>
      </c>
      <c r="H6" s="115">
        <v>9.0999999999999998E-2</v>
      </c>
    </row>
    <row r="7" spans="1:8" ht="15" customHeight="1" x14ac:dyDescent="0.3">
      <c r="A7" s="103" t="s">
        <v>180</v>
      </c>
      <c r="B7" s="104">
        <v>345</v>
      </c>
      <c r="C7" s="115">
        <v>0.61599999999999999</v>
      </c>
      <c r="D7" s="115">
        <v>0.438</v>
      </c>
      <c r="E7" s="115">
        <v>0.32900000000000001</v>
      </c>
      <c r="F7" s="115">
        <v>0.221</v>
      </c>
      <c r="G7" s="115">
        <v>0.14799999999999999</v>
      </c>
      <c r="H7" s="115">
        <v>8.4000000000000005E-2</v>
      </c>
    </row>
    <row r="8" spans="1:8" ht="15" customHeight="1" x14ac:dyDescent="0.3">
      <c r="A8" s="103" t="s">
        <v>181</v>
      </c>
      <c r="B8" s="104">
        <v>260</v>
      </c>
      <c r="C8" s="115">
        <v>0.59799999999999998</v>
      </c>
      <c r="D8" s="115">
        <v>0.42899999999999999</v>
      </c>
      <c r="E8" s="115">
        <v>0.312</v>
      </c>
      <c r="F8" s="115">
        <v>0.20899999999999999</v>
      </c>
      <c r="G8" s="115">
        <v>0.14199999999999999</v>
      </c>
      <c r="H8" s="115">
        <v>7.8E-2</v>
      </c>
    </row>
    <row r="9" spans="1:8" ht="15" customHeight="1" x14ac:dyDescent="0.3">
      <c r="A9" s="103" t="s">
        <v>182</v>
      </c>
      <c r="B9" s="104">
        <v>190</v>
      </c>
      <c r="C9" s="115">
        <v>0.58099999999999996</v>
      </c>
      <c r="D9" s="115">
        <v>0.41799999999999998</v>
      </c>
      <c r="E9" s="115">
        <v>0.30499999999999999</v>
      </c>
      <c r="F9" s="115">
        <v>0.19800000000000001</v>
      </c>
      <c r="G9" s="115" t="s">
        <v>183</v>
      </c>
      <c r="H9" s="115" t="s">
        <v>183</v>
      </c>
    </row>
    <row r="10" spans="1:8" ht="15" customHeight="1" x14ac:dyDescent="0.3">
      <c r="A10" s="103" t="s">
        <v>184</v>
      </c>
      <c r="B10" s="104">
        <v>125</v>
      </c>
      <c r="C10" s="115">
        <v>0.56299999999999994</v>
      </c>
      <c r="D10" s="115" t="s">
        <v>183</v>
      </c>
      <c r="E10" s="115" t="s">
        <v>183</v>
      </c>
      <c r="F10" s="115" t="s">
        <v>183</v>
      </c>
      <c r="G10" s="115" t="s">
        <v>183</v>
      </c>
      <c r="H10" s="115" t="s">
        <v>183</v>
      </c>
    </row>
    <row r="11" spans="1:8" ht="15" customHeight="1" x14ac:dyDescent="0.3">
      <c r="A11" s="111" t="s">
        <v>185</v>
      </c>
      <c r="B11" s="105">
        <v>280.83333333333297</v>
      </c>
      <c r="C11" s="131">
        <v>0.60719999999999996</v>
      </c>
      <c r="D11" s="131">
        <v>0.43580000000000002</v>
      </c>
      <c r="E11" s="131">
        <v>0.3196</v>
      </c>
      <c r="F11" s="131">
        <v>0.222</v>
      </c>
      <c r="G11" s="131">
        <v>0.15</v>
      </c>
      <c r="H11" s="131">
        <v>8.77E-2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4AC0D"/>
  </sheetPr>
  <dimension ref="A1:E29"/>
  <sheetViews>
    <sheetView zoomScaleNormal="100" workbookViewId="0">
      <selection activeCell="D7" sqref="D7"/>
    </sheetView>
  </sheetViews>
  <sheetFormatPr defaultColWidth="8.6640625" defaultRowHeight="14.4" x14ac:dyDescent="0.3"/>
  <cols>
    <col min="1" max="1" width="26" style="179" customWidth="1"/>
    <col min="2" max="2" width="12" style="179" customWidth="1"/>
    <col min="3" max="5" width="14" style="179" customWidth="1"/>
  </cols>
  <sheetData>
    <row r="1" spans="1:5" ht="15.75" customHeight="1" x14ac:dyDescent="0.3">
      <c r="A1" s="109" t="s">
        <v>191</v>
      </c>
    </row>
    <row r="2" spans="1:5" ht="15" customHeight="1" x14ac:dyDescent="0.3">
      <c r="A2" s="110" t="s">
        <v>192</v>
      </c>
    </row>
    <row r="4" spans="1:5" ht="21.75" customHeight="1" x14ac:dyDescent="0.3">
      <c r="A4" s="1" t="s">
        <v>193</v>
      </c>
      <c r="B4" s="1" t="s">
        <v>194</v>
      </c>
      <c r="C4" s="1" t="s">
        <v>162</v>
      </c>
      <c r="D4" s="1" t="s">
        <v>195</v>
      </c>
      <c r="E4" s="1" t="s">
        <v>196</v>
      </c>
    </row>
    <row r="5" spans="1:5" ht="15" customHeight="1" x14ac:dyDescent="0.3">
      <c r="A5" s="103" t="s">
        <v>197</v>
      </c>
      <c r="B5" s="103" t="s">
        <v>198</v>
      </c>
      <c r="C5" s="104">
        <v>1685</v>
      </c>
      <c r="D5" s="115">
        <v>1</v>
      </c>
      <c r="E5" s="115">
        <v>1</v>
      </c>
    </row>
    <row r="6" spans="1:5" ht="15" customHeight="1" x14ac:dyDescent="0.3">
      <c r="A6" s="103" t="s">
        <v>199</v>
      </c>
      <c r="B6" s="103" t="s">
        <v>200</v>
      </c>
      <c r="C6" s="104">
        <v>640</v>
      </c>
      <c r="D6" s="115">
        <v>0.37982195845697297</v>
      </c>
      <c r="E6" s="115">
        <v>0.37982195845697297</v>
      </c>
    </row>
    <row r="7" spans="1:5" ht="15" customHeight="1" x14ac:dyDescent="0.3">
      <c r="A7" s="103" t="s">
        <v>201</v>
      </c>
      <c r="B7" s="103" t="s">
        <v>202</v>
      </c>
      <c r="C7" s="104">
        <v>268</v>
      </c>
      <c r="D7" s="115">
        <v>0.41875000000000001</v>
      </c>
      <c r="E7" s="115">
        <v>0.15905044510385799</v>
      </c>
    </row>
    <row r="8" spans="1:5" ht="15" customHeight="1" x14ac:dyDescent="0.3">
      <c r="A8" s="103" t="s">
        <v>203</v>
      </c>
      <c r="B8" s="103" t="s">
        <v>204</v>
      </c>
      <c r="C8" s="104">
        <v>101</v>
      </c>
      <c r="D8" s="115">
        <v>0.37686567164179102</v>
      </c>
      <c r="E8" s="115">
        <v>5.9940652818991101E-2</v>
      </c>
    </row>
    <row r="9" spans="1:5" ht="15" customHeight="1" x14ac:dyDescent="0.3">
      <c r="A9" s="103" t="s">
        <v>205</v>
      </c>
      <c r="B9" s="103" t="s">
        <v>206</v>
      </c>
      <c r="C9" s="104">
        <v>28</v>
      </c>
      <c r="D9" s="115">
        <v>0.27722772277227697</v>
      </c>
      <c r="E9" s="115">
        <v>1.6617210682492601E-2</v>
      </c>
    </row>
    <row r="11" spans="1:5" ht="15" customHeight="1" x14ac:dyDescent="0.3">
      <c r="A11" s="116" t="s">
        <v>207</v>
      </c>
      <c r="B11" s="90"/>
      <c r="C11" s="90"/>
      <c r="D11" s="90"/>
      <c r="E11" s="90"/>
    </row>
    <row r="12" spans="1:5" ht="15" customHeight="1" x14ac:dyDescent="0.3">
      <c r="A12" s="1" t="s">
        <v>208</v>
      </c>
      <c r="B12" s="1"/>
      <c r="C12" s="1" t="s">
        <v>209</v>
      </c>
      <c r="D12" s="1" t="s">
        <v>210</v>
      </c>
      <c r="E12" s="1"/>
    </row>
    <row r="13" spans="1:5" ht="15" customHeight="1" x14ac:dyDescent="0.3">
      <c r="A13" s="103" t="s">
        <v>211</v>
      </c>
      <c r="B13" s="102"/>
      <c r="C13" s="104">
        <v>1045</v>
      </c>
      <c r="D13" s="115">
        <v>0.62017804154302703</v>
      </c>
      <c r="E13" s="102"/>
    </row>
    <row r="14" spans="1:5" ht="15" customHeight="1" x14ac:dyDescent="0.3">
      <c r="A14" s="103" t="s">
        <v>212</v>
      </c>
      <c r="B14" s="102"/>
      <c r="C14" s="104">
        <v>372</v>
      </c>
      <c r="D14" s="115">
        <v>0.58125000000000004</v>
      </c>
      <c r="E14" s="102"/>
    </row>
    <row r="15" spans="1:5" ht="15" customHeight="1" x14ac:dyDescent="0.3">
      <c r="A15" s="103" t="s">
        <v>213</v>
      </c>
      <c r="B15" s="102"/>
      <c r="C15" s="104">
        <v>167</v>
      </c>
      <c r="D15" s="115">
        <v>0.62313432835820903</v>
      </c>
      <c r="E15" s="102"/>
    </row>
    <row r="16" spans="1:5" ht="15" customHeight="1" x14ac:dyDescent="0.3">
      <c r="A16" s="103" t="s">
        <v>214</v>
      </c>
      <c r="B16" s="102"/>
      <c r="C16" s="104">
        <v>73</v>
      </c>
      <c r="D16" s="115">
        <v>0.72277227722772297</v>
      </c>
      <c r="E16" s="102"/>
    </row>
    <row r="18" spans="1:5" ht="15" customHeight="1" x14ac:dyDescent="0.3">
      <c r="A18" s="116" t="s">
        <v>215</v>
      </c>
      <c r="B18" s="90"/>
      <c r="C18" s="90"/>
      <c r="D18" s="90"/>
      <c r="E18" s="90"/>
    </row>
    <row r="19" spans="1:5" ht="15" customHeight="1" x14ac:dyDescent="0.3">
      <c r="A19" s="1" t="s">
        <v>193</v>
      </c>
      <c r="B19" s="1" t="s">
        <v>194</v>
      </c>
      <c r="C19" s="1" t="s">
        <v>140</v>
      </c>
      <c r="D19" s="1" t="s">
        <v>141</v>
      </c>
      <c r="E19" s="1" t="s">
        <v>9</v>
      </c>
    </row>
    <row r="20" spans="1:5" ht="15" customHeight="1" x14ac:dyDescent="0.3">
      <c r="A20" s="103" t="s">
        <v>197</v>
      </c>
      <c r="B20" s="103" t="s">
        <v>198</v>
      </c>
      <c r="C20" s="104">
        <v>1348</v>
      </c>
      <c r="D20" s="104">
        <v>337</v>
      </c>
      <c r="E20" s="104">
        <v>1685</v>
      </c>
    </row>
    <row r="21" spans="1:5" ht="15" customHeight="1" x14ac:dyDescent="0.3">
      <c r="A21" s="103" t="s">
        <v>199</v>
      </c>
      <c r="B21" s="103" t="s">
        <v>200</v>
      </c>
      <c r="C21" s="104">
        <v>443</v>
      </c>
      <c r="D21" s="104">
        <v>197</v>
      </c>
      <c r="E21" s="104">
        <v>640</v>
      </c>
    </row>
    <row r="22" spans="1:5" ht="15" customHeight="1" x14ac:dyDescent="0.3">
      <c r="A22" s="103" t="s">
        <v>201</v>
      </c>
      <c r="B22" s="103" t="s">
        <v>202</v>
      </c>
      <c r="C22" s="104">
        <v>177</v>
      </c>
      <c r="D22" s="104">
        <v>91</v>
      </c>
      <c r="E22" s="104">
        <v>268</v>
      </c>
    </row>
    <row r="23" spans="1:5" ht="15" customHeight="1" x14ac:dyDescent="0.3">
      <c r="A23" s="103" t="s">
        <v>203</v>
      </c>
      <c r="B23" s="103" t="s">
        <v>204</v>
      </c>
      <c r="C23" s="104">
        <v>61</v>
      </c>
      <c r="D23" s="104">
        <v>40</v>
      </c>
      <c r="E23" s="104">
        <v>101</v>
      </c>
    </row>
    <row r="24" spans="1:5" ht="15" customHeight="1" x14ac:dyDescent="0.3">
      <c r="A24" s="103" t="s">
        <v>205</v>
      </c>
      <c r="B24" s="103" t="s">
        <v>206</v>
      </c>
      <c r="C24" s="104">
        <v>15</v>
      </c>
      <c r="D24" s="104">
        <v>13</v>
      </c>
      <c r="E24" s="104">
        <v>28</v>
      </c>
    </row>
    <row r="26" spans="1:5" ht="15" customHeight="1" x14ac:dyDescent="0.3">
      <c r="A26" s="116" t="s">
        <v>216</v>
      </c>
      <c r="B26" s="90"/>
      <c r="C26" s="90"/>
      <c r="D26" s="90"/>
      <c r="E26" s="90"/>
    </row>
    <row r="27" spans="1:5" ht="15" customHeight="1" x14ac:dyDescent="0.3">
      <c r="A27" s="1" t="s">
        <v>111</v>
      </c>
      <c r="B27" s="1" t="s">
        <v>194</v>
      </c>
      <c r="C27" s="1" t="s">
        <v>140</v>
      </c>
      <c r="D27" s="1" t="s">
        <v>141</v>
      </c>
      <c r="E27" s="1"/>
    </row>
    <row r="28" spans="1:5" ht="15" customHeight="1" x14ac:dyDescent="0.3">
      <c r="A28" s="103" t="s">
        <v>217</v>
      </c>
      <c r="B28" s="103" t="s">
        <v>200</v>
      </c>
      <c r="C28" s="115">
        <v>0.32863501483679503</v>
      </c>
      <c r="D28" s="115">
        <v>0.58456973293768499</v>
      </c>
      <c r="E28" s="102"/>
    </row>
    <row r="29" spans="1:5" ht="15" customHeight="1" x14ac:dyDescent="0.3">
      <c r="A29" s="103" t="s">
        <v>218</v>
      </c>
      <c r="B29" s="103" t="s">
        <v>202</v>
      </c>
      <c r="C29" s="115">
        <v>0.39954853273137703</v>
      </c>
      <c r="D29" s="115">
        <v>0.461928934010152</v>
      </c>
      <c r="E29" s="10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44AD"/>
  </sheetPr>
  <dimension ref="A1:I17"/>
  <sheetViews>
    <sheetView zoomScaleNormal="100" workbookViewId="0">
      <selection activeCell="C8" sqref="C8"/>
    </sheetView>
  </sheetViews>
  <sheetFormatPr defaultColWidth="8.6640625" defaultRowHeight="14.4" x14ac:dyDescent="0.3"/>
  <cols>
    <col min="1" max="2" width="22" style="179" customWidth="1"/>
    <col min="3" max="3" width="16" style="179" customWidth="1"/>
    <col min="4" max="9" width="15" style="179" customWidth="1"/>
  </cols>
  <sheetData>
    <row r="1" spans="1:9" ht="15.75" customHeight="1" x14ac:dyDescent="0.3">
      <c r="A1" s="109" t="s">
        <v>219</v>
      </c>
    </row>
    <row r="2" spans="1:9" ht="15" customHeight="1" x14ac:dyDescent="0.3">
      <c r="A2" s="110"/>
    </row>
    <row r="4" spans="1:9" ht="15" customHeight="1" x14ac:dyDescent="0.3">
      <c r="A4" s="1" t="s">
        <v>220</v>
      </c>
      <c r="B4" s="1" t="s">
        <v>221</v>
      </c>
      <c r="C4" s="1" t="s">
        <v>142</v>
      </c>
      <c r="D4" s="1" t="s">
        <v>143</v>
      </c>
      <c r="E4" s="1" t="s">
        <v>18</v>
      </c>
      <c r="F4" s="1" t="s">
        <v>222</v>
      </c>
      <c r="G4" s="1" t="s">
        <v>223</v>
      </c>
      <c r="H4" s="1" t="s">
        <v>165</v>
      </c>
      <c r="I4" s="1" t="s">
        <v>224</v>
      </c>
    </row>
    <row r="5" spans="1:9" ht="15" customHeight="1" x14ac:dyDescent="0.3">
      <c r="A5" s="103" t="s">
        <v>225</v>
      </c>
      <c r="B5" s="104">
        <v>20</v>
      </c>
      <c r="C5" s="104">
        <v>710000</v>
      </c>
      <c r="D5" s="104">
        <v>394000</v>
      </c>
      <c r="E5" s="104">
        <v>316000</v>
      </c>
      <c r="F5" s="115">
        <v>0.44507042253521101</v>
      </c>
      <c r="G5" s="104">
        <v>2540</v>
      </c>
      <c r="H5" s="104">
        <v>2170</v>
      </c>
      <c r="I5" s="118">
        <v>327.18894009216598</v>
      </c>
    </row>
    <row r="6" spans="1:9" ht="15" customHeight="1" x14ac:dyDescent="0.3">
      <c r="A6" s="103" t="s">
        <v>226</v>
      </c>
      <c r="B6" s="104">
        <v>10</v>
      </c>
      <c r="C6" s="104">
        <v>356000</v>
      </c>
      <c r="D6" s="104">
        <v>200000</v>
      </c>
      <c r="E6" s="104">
        <v>156000</v>
      </c>
      <c r="F6" s="115">
        <v>0.43820224719101097</v>
      </c>
      <c r="G6" s="104">
        <v>1387</v>
      </c>
      <c r="H6" s="104">
        <v>1192</v>
      </c>
      <c r="I6" s="118">
        <v>298.65771812080499</v>
      </c>
    </row>
    <row r="7" spans="1:9" ht="15" customHeight="1" x14ac:dyDescent="0.3">
      <c r="A7" s="103" t="s">
        <v>227</v>
      </c>
      <c r="B7" s="104">
        <v>10</v>
      </c>
      <c r="C7" s="104">
        <v>332000</v>
      </c>
      <c r="D7" s="104">
        <v>184000</v>
      </c>
      <c r="E7" s="104">
        <v>148000</v>
      </c>
      <c r="F7" s="115">
        <v>0.44578313253012097</v>
      </c>
      <c r="G7" s="104">
        <v>1233</v>
      </c>
      <c r="H7" s="104">
        <v>1050</v>
      </c>
      <c r="I7" s="118">
        <v>316.19047619047598</v>
      </c>
    </row>
    <row r="8" spans="1:9" ht="15" customHeight="1" x14ac:dyDescent="0.3">
      <c r="A8" s="103" t="s">
        <v>228</v>
      </c>
      <c r="B8" s="104">
        <v>10</v>
      </c>
      <c r="C8" s="104">
        <v>621000</v>
      </c>
      <c r="D8" s="104">
        <v>358000</v>
      </c>
      <c r="E8" s="104">
        <v>263000</v>
      </c>
      <c r="F8" s="115">
        <v>0.42351046698872802</v>
      </c>
      <c r="G8" s="104">
        <v>1230</v>
      </c>
      <c r="H8" s="104">
        <v>1064</v>
      </c>
      <c r="I8" s="118">
        <v>583.64661654135296</v>
      </c>
    </row>
    <row r="9" spans="1:9" ht="15" customHeight="1" x14ac:dyDescent="0.3">
      <c r="A9" s="111" t="s">
        <v>9</v>
      </c>
      <c r="B9" s="105">
        <v>50</v>
      </c>
      <c r="C9" s="105">
        <v>2019000</v>
      </c>
      <c r="D9" s="105">
        <v>1136000</v>
      </c>
      <c r="E9" s="105">
        <v>883000</v>
      </c>
      <c r="F9" s="131">
        <v>0.43734522040614199</v>
      </c>
      <c r="G9" s="105">
        <v>6390</v>
      </c>
      <c r="H9" s="105">
        <v>5476</v>
      </c>
      <c r="I9" s="114">
        <v>368.699780861943</v>
      </c>
    </row>
    <row r="11" spans="1:9" ht="15" customHeight="1" x14ac:dyDescent="0.3">
      <c r="A11" s="132" t="s">
        <v>229</v>
      </c>
    </row>
    <row r="12" spans="1:9" ht="15" customHeight="1" x14ac:dyDescent="0.3">
      <c r="A12" s="1" t="s">
        <v>230</v>
      </c>
      <c r="B12" s="1" t="s">
        <v>231</v>
      </c>
      <c r="C12" s="1" t="s">
        <v>220</v>
      </c>
      <c r="D12" s="1" t="s">
        <v>142</v>
      </c>
      <c r="E12" s="1" t="s">
        <v>232</v>
      </c>
      <c r="F12" s="1" t="s">
        <v>222</v>
      </c>
      <c r="G12" s="1" t="s">
        <v>223</v>
      </c>
    </row>
    <row r="13" spans="1:9" ht="15" customHeight="1" x14ac:dyDescent="0.3">
      <c r="A13" s="104">
        <v>1</v>
      </c>
      <c r="B13" s="103" t="s">
        <v>233</v>
      </c>
      <c r="C13" s="103" t="s">
        <v>228</v>
      </c>
      <c r="D13" s="104">
        <v>232000</v>
      </c>
      <c r="E13" s="104">
        <v>95200</v>
      </c>
      <c r="F13" s="115">
        <v>0.41034482758620699</v>
      </c>
      <c r="G13" s="104">
        <v>119</v>
      </c>
    </row>
    <row r="14" spans="1:9" ht="15" customHeight="1" x14ac:dyDescent="0.3">
      <c r="A14" s="104">
        <v>2</v>
      </c>
      <c r="B14" s="103" t="s">
        <v>234</v>
      </c>
      <c r="C14" s="103" t="s">
        <v>228</v>
      </c>
      <c r="D14" s="104">
        <v>195000</v>
      </c>
      <c r="E14" s="104">
        <v>80700</v>
      </c>
      <c r="F14" s="115">
        <v>0.41384615384615397</v>
      </c>
      <c r="G14" s="104">
        <v>120</v>
      </c>
    </row>
    <row r="15" spans="1:9" ht="15" customHeight="1" x14ac:dyDescent="0.3">
      <c r="A15" s="104">
        <v>3</v>
      </c>
      <c r="B15" s="103" t="s">
        <v>235</v>
      </c>
      <c r="C15" s="103" t="s">
        <v>228</v>
      </c>
      <c r="D15" s="104">
        <v>191000</v>
      </c>
      <c r="E15" s="104">
        <v>79000</v>
      </c>
      <c r="F15" s="115">
        <v>0.413612565445026</v>
      </c>
      <c r="G15" s="104">
        <v>138</v>
      </c>
    </row>
    <row r="16" spans="1:9" ht="15" customHeight="1" x14ac:dyDescent="0.3">
      <c r="A16" s="104">
        <v>4</v>
      </c>
      <c r="B16" s="103" t="s">
        <v>236</v>
      </c>
      <c r="C16" s="103" t="s">
        <v>225</v>
      </c>
      <c r="D16" s="104">
        <v>58600</v>
      </c>
      <c r="E16" s="104">
        <v>26100</v>
      </c>
      <c r="F16" s="115">
        <v>0.44539249146757698</v>
      </c>
      <c r="G16" s="104">
        <v>130</v>
      </c>
    </row>
    <row r="17" spans="1:7" ht="15" customHeight="1" x14ac:dyDescent="0.3">
      <c r="A17" s="104">
        <v>5</v>
      </c>
      <c r="B17" s="103" t="s">
        <v>237</v>
      </c>
      <c r="C17" s="103" t="s">
        <v>227</v>
      </c>
      <c r="D17" s="104">
        <v>64000</v>
      </c>
      <c r="E17" s="104">
        <v>27900</v>
      </c>
      <c r="F17" s="115">
        <v>0.43593749999999998</v>
      </c>
      <c r="G17" s="104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</vt:lpstr>
      <vt:lpstr>Revenue Streams</vt:lpstr>
      <vt:lpstr>Staff</vt:lpstr>
      <vt:lpstr>Marketing &amp; CAC</vt:lpstr>
      <vt:lpstr>Channel Performance</vt:lpstr>
      <vt:lpstr>Unit Economics</vt:lpstr>
      <vt:lpstr>Churn Analysis</vt:lpstr>
      <vt:lpstr>Cohort Retention</vt:lpstr>
      <vt:lpstr>Conversion Funnel</vt:lpstr>
      <vt:lpstr>Product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Mykhailo B</cp:lastModifiedBy>
  <cp:revision>0</cp:revision>
  <dcterms:created xsi:type="dcterms:W3CDTF">2026-02-03T14:59:59Z</dcterms:created>
  <dcterms:modified xsi:type="dcterms:W3CDTF">2026-02-09T20:23:57Z</dcterms:modified>
  <dc:language>en-US</dc:language>
</cp:coreProperties>
</file>